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jects\arborist-plans\Projects\7631-creditview\"/>
    </mc:Choice>
  </mc:AlternateContent>
  <xr:revisionPtr revIDLastSave="0" documentId="13_ncr:1_{27E6F5D5-BA44-40EC-8455-928134346DDA}" xr6:coauthVersionLast="47" xr6:coauthVersionMax="47" xr10:uidLastSave="{00000000-0000-0000-0000-000000000000}"/>
  <bookViews>
    <workbookView xWindow="14052" yWindow="3468" windowWidth="21924" windowHeight="11604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7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6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J22" i="1" a="1"/>
  <c r="J22" i="1"/>
  <c r="K4" i="1" a="1"/>
  <c r="K4" i="1"/>
  <c r="K5" i="1" a="1"/>
  <c r="K5" i="1"/>
  <c r="K6" i="1" a="1"/>
  <c r="K6" i="1"/>
  <c r="K7" i="1" a="1"/>
  <c r="K7" i="1"/>
  <c r="K8" i="1" a="1"/>
  <c r="K8" i="1"/>
  <c r="K9" i="1" a="1"/>
  <c r="K9" i="1"/>
  <c r="K10" i="1" a="1"/>
  <c r="K10" i="1"/>
  <c r="K11" i="1" a="1"/>
  <c r="K11" i="1"/>
  <c r="K12" i="1" a="1"/>
  <c r="K12" i="1"/>
  <c r="K13" i="1" a="1"/>
  <c r="K13" i="1"/>
  <c r="K14" i="1" a="1"/>
  <c r="K14" i="1"/>
  <c r="K15" i="1" a="1"/>
  <c r="K15" i="1"/>
  <c r="K16" i="1" a="1"/>
  <c r="K16" i="1"/>
  <c r="K17" i="1" a="1"/>
  <c r="K17" i="1"/>
  <c r="K18" i="1" a="1"/>
  <c r="K18" i="1"/>
  <c r="K19" i="1" a="1"/>
  <c r="K19" i="1"/>
  <c r="K20" i="1" a="1"/>
  <c r="K20" i="1"/>
  <c r="K21" i="1" a="1"/>
  <c r="K21" i="1"/>
  <c r="K22" i="1" a="1"/>
  <c r="K22" i="1"/>
  <c r="K23" i="1" a="1"/>
  <c r="K23" i="1"/>
  <c r="K24" i="1" a="1"/>
  <c r="K24" i="1"/>
  <c r="K25" i="1" a="1"/>
  <c r="K25" i="1"/>
  <c r="K26" i="1" a="1"/>
  <c r="K26" i="1"/>
  <c r="K27" i="1" a="1"/>
  <c r="K27" i="1"/>
  <c r="K28" i="1" a="1"/>
  <c r="K28" i="1"/>
  <c r="K29" i="1" a="1"/>
  <c r="K29" i="1"/>
  <c r="K30" i="1" a="1"/>
  <c r="K30" i="1"/>
  <c r="K31" i="1" a="1"/>
  <c r="K31" i="1"/>
  <c r="K32" i="1" a="1"/>
  <c r="K32" i="1"/>
  <c r="K33" i="1" a="1"/>
  <c r="K33" i="1"/>
  <c r="K34" i="1" a="1"/>
  <c r="K34" i="1"/>
  <c r="K35" i="1" a="1"/>
  <c r="K35" i="1"/>
  <c r="K36" i="1" a="1"/>
  <c r="K36" i="1"/>
  <c r="K37" i="1" a="1"/>
  <c r="K37" i="1"/>
  <c r="K38" i="1" a="1"/>
  <c r="K38" i="1"/>
  <c r="K39" i="1" a="1"/>
  <c r="K39" i="1"/>
  <c r="K40" i="1" a="1"/>
  <c r="K40" i="1"/>
  <c r="K41" i="1" a="1"/>
  <c r="K41" i="1"/>
  <c r="K42" i="1" a="1"/>
  <c r="K42" i="1"/>
  <c r="K43" i="1" a="1"/>
  <c r="K43" i="1"/>
  <c r="K44" i="1" a="1"/>
  <c r="K44" i="1"/>
  <c r="K45" i="1" a="1"/>
  <c r="K45" i="1"/>
  <c r="K46" i="1" a="1"/>
  <c r="K46" i="1"/>
  <c r="K47" i="1" a="1"/>
  <c r="K47" i="1"/>
  <c r="K48" i="1" a="1"/>
  <c r="K48" i="1"/>
  <c r="K49" i="1" a="1"/>
  <c r="K49" i="1"/>
  <c r="K50" i="1" a="1"/>
  <c r="K50" i="1"/>
  <c r="K51" i="1" a="1"/>
  <c r="K51" i="1"/>
  <c r="K52" i="1" a="1"/>
  <c r="K52" i="1"/>
  <c r="K53" i="1" a="1"/>
  <c r="K53" i="1"/>
  <c r="K54" i="1" a="1"/>
  <c r="K54" i="1"/>
  <c r="K55" i="1" a="1"/>
  <c r="K55" i="1"/>
  <c r="K56" i="1" a="1"/>
  <c r="K56" i="1"/>
  <c r="K57" i="1" a="1"/>
  <c r="K57" i="1"/>
  <c r="K58" i="1" a="1"/>
  <c r="K58" i="1"/>
  <c r="K59" i="1" a="1"/>
  <c r="K59" i="1"/>
  <c r="K60" i="1" a="1"/>
  <c r="K60" i="1"/>
  <c r="K61" i="1" a="1"/>
  <c r="K61" i="1"/>
  <c r="K62" i="1" a="1"/>
  <c r="K62" i="1"/>
  <c r="K63" i="1" a="1"/>
  <c r="K63" i="1"/>
  <c r="K64" i="1" a="1"/>
  <c r="K64" i="1"/>
  <c r="K65" i="1" a="1"/>
  <c r="K65" i="1"/>
  <c r="K66" i="1" a="1"/>
  <c r="K66" i="1"/>
  <c r="K67" i="1" a="1"/>
  <c r="K67" i="1"/>
  <c r="K3" i="1" a="1"/>
  <c r="K3" i="1"/>
  <c r="J45" i="1" a="1"/>
  <c r="J45" i="1"/>
  <c r="J46" i="1" a="1"/>
  <c r="J46" i="1"/>
  <c r="J47" i="1" a="1"/>
  <c r="J47" i="1"/>
  <c r="J48" i="1" a="1"/>
  <c r="J48" i="1"/>
  <c r="J49" i="1" a="1"/>
  <c r="J49" i="1"/>
  <c r="J50" i="1" a="1"/>
  <c r="J50" i="1"/>
  <c r="J51" i="1" a="1"/>
  <c r="J51" i="1"/>
  <c r="J52" i="1" a="1"/>
  <c r="J52" i="1"/>
  <c r="J53" i="1" a="1"/>
  <c r="J53" i="1"/>
  <c r="J54" i="1" a="1"/>
  <c r="J54" i="1"/>
  <c r="J55" i="1" a="1"/>
  <c r="J55" i="1"/>
  <c r="J56" i="1" a="1"/>
  <c r="J56" i="1"/>
  <c r="J57" i="1" a="1"/>
  <c r="J57" i="1"/>
  <c r="J58" i="1" a="1"/>
  <c r="J58" i="1"/>
  <c r="J59" i="1" a="1"/>
  <c r="J59" i="1"/>
  <c r="J60" i="1" a="1"/>
  <c r="J60" i="1"/>
  <c r="J61" i="1" a="1"/>
  <c r="J61" i="1"/>
  <c r="J62" i="1" a="1"/>
  <c r="J62" i="1"/>
  <c r="J63" i="1" a="1"/>
  <c r="J63" i="1"/>
  <c r="J64" i="1" a="1"/>
  <c r="J64" i="1"/>
  <c r="J65" i="1" a="1"/>
  <c r="J65" i="1"/>
  <c r="J66" i="1" a="1"/>
  <c r="J66" i="1"/>
  <c r="J67" i="1" a="1"/>
  <c r="J67" i="1"/>
  <c r="J38" i="1" a="1"/>
  <c r="J38" i="1"/>
  <c r="J39" i="1" a="1"/>
  <c r="J39" i="1"/>
  <c r="J40" i="1" a="1"/>
  <c r="J40" i="1"/>
  <c r="J41" i="1" a="1"/>
  <c r="J41" i="1"/>
  <c r="J42" i="1" a="1"/>
  <c r="J42" i="1"/>
  <c r="J43" i="1" a="1"/>
  <c r="J43" i="1"/>
  <c r="J44" i="1" a="1"/>
  <c r="J44" i="1"/>
  <c r="J37" i="1" a="1"/>
  <c r="J37" i="1"/>
  <c r="M38" i="1"/>
  <c r="N38" i="1"/>
  <c r="M39" i="1"/>
  <c r="N39" i="1"/>
  <c r="M40" i="1"/>
  <c r="N40" i="1"/>
  <c r="M41" i="1"/>
  <c r="N41" i="1"/>
  <c r="O38" i="1"/>
  <c r="O39" i="1"/>
  <c r="O40" i="1"/>
  <c r="O41" i="1"/>
  <c r="M67" i="1"/>
  <c r="N67" i="1"/>
  <c r="O67" i="1"/>
  <c r="M66" i="1"/>
  <c r="N66" i="1"/>
  <c r="O66" i="1"/>
  <c r="M65" i="1"/>
  <c r="N65" i="1"/>
  <c r="O65" i="1"/>
  <c r="M64" i="1"/>
  <c r="N64" i="1"/>
  <c r="O64" i="1"/>
  <c r="M63" i="1"/>
  <c r="N63" i="1"/>
  <c r="O63" i="1"/>
  <c r="M62" i="1"/>
  <c r="N62" i="1"/>
  <c r="O62" i="1"/>
  <c r="M61" i="1"/>
  <c r="N61" i="1"/>
  <c r="O61" i="1"/>
  <c r="M60" i="1"/>
  <c r="N60" i="1"/>
  <c r="O60" i="1"/>
  <c r="M59" i="1"/>
  <c r="N59" i="1"/>
  <c r="O59" i="1"/>
  <c r="M58" i="1"/>
  <c r="N58" i="1"/>
  <c r="O58" i="1"/>
  <c r="M57" i="1"/>
  <c r="N57" i="1"/>
  <c r="O57" i="1"/>
  <c r="M56" i="1"/>
  <c r="N56" i="1"/>
  <c r="O56" i="1"/>
  <c r="M55" i="1"/>
  <c r="N55" i="1"/>
  <c r="O55" i="1"/>
  <c r="M54" i="1"/>
  <c r="N54" i="1"/>
  <c r="O54" i="1"/>
  <c r="M53" i="1"/>
  <c r="N53" i="1"/>
  <c r="O53" i="1"/>
  <c r="M52" i="1"/>
  <c r="N52" i="1"/>
  <c r="O52" i="1"/>
  <c r="M51" i="1"/>
  <c r="N51" i="1"/>
  <c r="O51" i="1"/>
  <c r="M50" i="1"/>
  <c r="N50" i="1"/>
  <c r="O50" i="1"/>
  <c r="M49" i="1"/>
  <c r="N49" i="1"/>
  <c r="O49" i="1"/>
  <c r="M48" i="1"/>
  <c r="N48" i="1"/>
  <c r="O48" i="1"/>
  <c r="M47" i="1"/>
  <c r="N47" i="1"/>
  <c r="O47" i="1"/>
  <c r="M46" i="1"/>
  <c r="N46" i="1"/>
  <c r="O46" i="1"/>
  <c r="M45" i="1"/>
  <c r="N45" i="1"/>
  <c r="O45" i="1"/>
  <c r="M44" i="1"/>
  <c r="N44" i="1"/>
  <c r="O44" i="1"/>
  <c r="M43" i="1"/>
  <c r="N43" i="1"/>
  <c r="O43" i="1"/>
  <c r="M42" i="1"/>
  <c r="N42" i="1"/>
  <c r="O42" i="1"/>
  <c r="M37" i="1" a="1"/>
  <c r="M37" i="1"/>
  <c r="N37" i="1"/>
  <c r="O37" i="1"/>
  <c r="J36" i="1" a="1"/>
  <c r="J36" i="1"/>
  <c r="M36" i="1" a="1"/>
  <c r="M36" i="1"/>
  <c r="N36" i="1"/>
  <c r="O36" i="1"/>
  <c r="J35" i="1" a="1"/>
  <c r="J35" i="1"/>
  <c r="M35" i="1" a="1"/>
  <c r="M35" i="1"/>
  <c r="N35" i="1"/>
  <c r="O35" i="1"/>
  <c r="J34" i="1" a="1"/>
  <c r="J34" i="1"/>
  <c r="M34" i="1" a="1"/>
  <c r="M34" i="1"/>
  <c r="N34" i="1"/>
  <c r="O34" i="1"/>
  <c r="J33" i="1" a="1"/>
  <c r="J33" i="1"/>
  <c r="M33" i="1" a="1"/>
  <c r="M33" i="1"/>
  <c r="N33" i="1"/>
  <c r="O33" i="1"/>
  <c r="J32" i="1" a="1"/>
  <c r="J32" i="1"/>
  <c r="M32" i="1" a="1"/>
  <c r="M32" i="1"/>
  <c r="N32" i="1"/>
  <c r="O32" i="1"/>
  <c r="J31" i="1" a="1"/>
  <c r="J31" i="1"/>
  <c r="M31" i="1" a="1"/>
  <c r="M31" i="1"/>
  <c r="N31" i="1"/>
  <c r="O31" i="1"/>
  <c r="J30" i="1" a="1"/>
  <c r="J30" i="1"/>
  <c r="M30" i="1" a="1"/>
  <c r="M30" i="1"/>
  <c r="N30" i="1"/>
  <c r="O30" i="1"/>
  <c r="J29" i="1" a="1"/>
  <c r="J29" i="1"/>
  <c r="M29" i="1" a="1"/>
  <c r="M29" i="1"/>
  <c r="N29" i="1"/>
  <c r="O29" i="1"/>
  <c r="J28" i="1" a="1"/>
  <c r="J28" i="1"/>
  <c r="M28" i="1" a="1"/>
  <c r="M28" i="1"/>
  <c r="N28" i="1"/>
  <c r="O28" i="1"/>
  <c r="J27" i="1" a="1"/>
  <c r="J27" i="1"/>
  <c r="M27" i="1" a="1"/>
  <c r="M27" i="1"/>
  <c r="N27" i="1"/>
  <c r="O27" i="1"/>
  <c r="J26" i="1" a="1"/>
  <c r="J26" i="1"/>
  <c r="M26" i="1" a="1"/>
  <c r="M26" i="1"/>
  <c r="N26" i="1"/>
  <c r="O26" i="1"/>
  <c r="J25" i="1" a="1"/>
  <c r="J25" i="1"/>
  <c r="M25" i="1" a="1"/>
  <c r="M25" i="1"/>
  <c r="N25" i="1"/>
  <c r="O25" i="1"/>
  <c r="J24" i="1" a="1"/>
  <c r="J24" i="1"/>
  <c r="M24" i="1" a="1"/>
  <c r="M24" i="1"/>
  <c r="N24" i="1"/>
  <c r="O24" i="1"/>
  <c r="J23" i="1" a="1"/>
  <c r="J23" i="1"/>
  <c r="M23" i="1" a="1"/>
  <c r="M23" i="1"/>
  <c r="N23" i="1"/>
  <c r="O23" i="1"/>
  <c r="M22" i="1" a="1"/>
  <c r="M22" i="1"/>
  <c r="N22" i="1"/>
  <c r="O22" i="1"/>
  <c r="J21" i="1" a="1"/>
  <c r="J21" i="1"/>
  <c r="M21" i="1" a="1"/>
  <c r="M21" i="1"/>
  <c r="N21" i="1"/>
  <c r="O21" i="1"/>
  <c r="J20" i="1" a="1"/>
  <c r="J20" i="1"/>
  <c r="M20" i="1" a="1"/>
  <c r="M20" i="1"/>
  <c r="N20" i="1"/>
  <c r="O20" i="1"/>
  <c r="J19" i="1" a="1"/>
  <c r="J19" i="1"/>
  <c r="M19" i="1" a="1"/>
  <c r="M19" i="1"/>
  <c r="N19" i="1"/>
  <c r="O19" i="1"/>
  <c r="J18" i="1" a="1"/>
  <c r="J18" i="1"/>
  <c r="M18" i="1" a="1"/>
  <c r="M18" i="1"/>
  <c r="N18" i="1"/>
  <c r="O18" i="1"/>
  <c r="J17" i="1" a="1"/>
  <c r="J17" i="1"/>
  <c r="M17" i="1" a="1"/>
  <c r="M17" i="1"/>
  <c r="N17" i="1"/>
  <c r="O17" i="1"/>
  <c r="J16" i="1" a="1"/>
  <c r="J16" i="1"/>
  <c r="M16" i="1" a="1"/>
  <c r="M16" i="1"/>
  <c r="N16" i="1"/>
  <c r="O16" i="1"/>
  <c r="J15" i="1" a="1"/>
  <c r="J15" i="1"/>
  <c r="M15" i="1" a="1"/>
  <c r="M15" i="1"/>
  <c r="N15" i="1"/>
  <c r="O15" i="1"/>
  <c r="J14" i="1" a="1"/>
  <c r="J14" i="1"/>
  <c r="M14" i="1" a="1"/>
  <c r="M14" i="1"/>
  <c r="N14" i="1"/>
  <c r="O14" i="1"/>
  <c r="J13" i="1" a="1"/>
  <c r="J13" i="1"/>
  <c r="M13" i="1" a="1"/>
  <c r="M13" i="1"/>
  <c r="N13" i="1"/>
  <c r="O13" i="1"/>
  <c r="J12" i="1" a="1"/>
  <c r="J12" i="1"/>
  <c r="M12" i="1" a="1"/>
  <c r="M12" i="1"/>
  <c r="N12" i="1"/>
  <c r="O12" i="1"/>
  <c r="J11" i="1" a="1"/>
  <c r="J11" i="1"/>
  <c r="M11" i="1" a="1"/>
  <c r="M11" i="1"/>
  <c r="N11" i="1"/>
  <c r="O11" i="1"/>
  <c r="J10" i="1" a="1"/>
  <c r="J10" i="1"/>
  <c r="M10" i="1" a="1"/>
  <c r="M10" i="1"/>
  <c r="N10" i="1"/>
  <c r="O10" i="1"/>
  <c r="J9" i="1" a="1"/>
  <c r="J9" i="1"/>
  <c r="M9" i="1" a="1"/>
  <c r="M9" i="1"/>
  <c r="N9" i="1"/>
  <c r="O9" i="1"/>
  <c r="J8" i="1" a="1"/>
  <c r="J8" i="1"/>
  <c r="M8" i="1" a="1"/>
  <c r="M8" i="1"/>
  <c r="N8" i="1"/>
  <c r="O8" i="1"/>
  <c r="J7" i="1" a="1"/>
  <c r="J7" i="1"/>
  <c r="M7" i="1" a="1"/>
  <c r="M7" i="1"/>
  <c r="N7" i="1"/>
  <c r="O7" i="1"/>
  <c r="J6" i="1" a="1"/>
  <c r="J6" i="1"/>
  <c r="M6" i="1" a="1"/>
  <c r="M6" i="1"/>
  <c r="N6" i="1"/>
  <c r="O6" i="1"/>
  <c r="J5" i="1" a="1"/>
  <c r="J5" i="1"/>
  <c r="M5" i="1" a="1"/>
  <c r="M5" i="1"/>
  <c r="N5" i="1"/>
  <c r="O5" i="1"/>
  <c r="J4" i="1" a="1"/>
  <c r="J4" i="1"/>
  <c r="M4" i="1" a="1"/>
  <c r="M4" i="1"/>
  <c r="N4" i="1"/>
  <c r="O4" i="1"/>
  <c r="J3" i="1" a="1"/>
  <c r="J3" i="1"/>
  <c r="M3" i="1" a="1"/>
  <c r="M3" i="1"/>
  <c r="N3" i="1"/>
  <c r="O3" i="1"/>
  <c r="F1" i="1" a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<sst xmlns="http://schemas.openxmlformats.org/spreadsheetml/2006/main" count="396" uniqueCount="97">
  <si>
    <t>Municipality</t>
  </si>
  <si>
    <t>Toronto</t>
  </si>
  <si>
    <t>Date of Visit</t>
  </si>
  <si>
    <t>01/01/2026</t>
  </si>
  <si>
    <t>(Misissauga, Oakville)</t>
  </si>
  <si>
    <t>&lt;&lt;Site
Office &gt;&gt;</t>
  </si>
  <si>
    <t>Copy City Formula</t>
  </si>
  <si>
    <t>&lt;&lt; This and everything left gets pasted</t>
  </si>
  <si>
    <t>(Burlington, Brampton, Mississauga, Vaughan, etc)</t>
  </si>
  <si>
    <t>Only internal 
Use &gt;&gt;&gt;</t>
  </si>
  <si>
    <t>TPP Scale
(Illustrator in mm)</t>
  </si>
  <si>
    <t>TREE #</t>
  </si>
  <si>
    <t>Species</t>
  </si>
  <si>
    <t>Botanical Name</t>
  </si>
  <si>
    <t>DBH (cm)</t>
  </si>
  <si>
    <t>Condition Rating</t>
  </si>
  <si>
    <t>Comments (* denotes approx DBH)</t>
  </si>
  <si>
    <t>Ownership
Category</t>
  </si>
  <si>
    <t>Crown Radius (m)</t>
  </si>
  <si>
    <t>Direction</t>
  </si>
  <si>
    <t>TPZ (m)</t>
  </si>
  <si>
    <t>Permit Requirement</t>
  </si>
  <si>
    <t>Multistem Calculation</t>
  </si>
  <si>
    <t>Map TPZ Diameter (m)</t>
  </si>
  <si>
    <t>1:500</t>
  </si>
  <si>
    <t>Center X (AI pts)</t>
  </si>
  <si>
    <t>Center Y (AI pts)</t>
  </si>
  <si>
    <t>Trunk 1:500 (mm)</t>
  </si>
  <si>
    <t>White Pine</t>
  </si>
  <si>
    <t>Pinus strobus</t>
  </si>
  <si>
    <t>Good</t>
  </si>
  <si>
    <t>Tree has good health and structure, one dead branch</t>
  </si>
  <si>
    <t>Private</t>
  </si>
  <si>
    <t>Protect</t>
  </si>
  <si>
    <t>Tree has good health and structure, one broken branch</t>
  </si>
  <si>
    <t>Injury</t>
  </si>
  <si>
    <t>White Mulberry</t>
  </si>
  <si>
    <t>Morus alba</t>
  </si>
  <si>
    <t>32, 35, 48</t>
  </si>
  <si>
    <t>Fair</t>
  </si>
  <si>
    <t>Codominant stems, wet wood, dead branches, fair health</t>
  </si>
  <si>
    <t>Remove</t>
  </si>
  <si>
    <t>White Spruce</t>
  </si>
  <si>
    <t>Picea glauca</t>
  </si>
  <si>
    <t>Botanically and structurally tree is in good condition</t>
  </si>
  <si>
    <t>Healthy tree with good structure</t>
  </si>
  <si>
    <t>Little-leaf Linden</t>
  </si>
  <si>
    <t>Tilia cordata</t>
  </si>
  <si>
    <t>Balanced crown, good health and structure</t>
  </si>
  <si>
    <t>Multiple dead branches, fair health good structure</t>
  </si>
  <si>
    <t>Sugar Maple</t>
  </si>
  <si>
    <t>Acer saccharum</t>
  </si>
  <si>
    <t>56, 46, 57</t>
  </si>
  <si>
    <t>Codominant stems, bark included, good health, fair structure</t>
  </si>
  <si>
    <t>Northen Catalpa</t>
  </si>
  <si>
    <t>Catalpa speciosa</t>
  </si>
  <si>
    <t>Tree has good health, fair structure, few dead branches</t>
  </si>
  <si>
    <t>Retain</t>
  </si>
  <si>
    <t>Tree has fair health and structure</t>
  </si>
  <si>
    <t>Manitoba Maple</t>
  </si>
  <si>
    <t>Acer negundo</t>
  </si>
  <si>
    <t xml:space="preserve">Leaning tree, fair health </t>
  </si>
  <si>
    <t>11, 80</t>
  </si>
  <si>
    <t>Poor</t>
  </si>
  <si>
    <t xml:space="preserve">Structurally poor, cracks, poor health, </t>
  </si>
  <si>
    <t>Black Walnut</t>
  </si>
  <si>
    <t>Juglans nigra</t>
  </si>
  <si>
    <t>Norway Spruce</t>
  </si>
  <si>
    <t>Picea abies</t>
  </si>
  <si>
    <t>Tree has fair health and structure, multiple dead branches</t>
  </si>
  <si>
    <t>Tree has good health ,good structure, few internal small dead branches</t>
  </si>
  <si>
    <t>Boundary</t>
  </si>
  <si>
    <t>Codominant stems, botanically and structurally in good condition</t>
  </si>
  <si>
    <t>Neighbour</t>
  </si>
  <si>
    <t>White Ash</t>
  </si>
  <si>
    <t>Fraxinus americana</t>
  </si>
  <si>
    <t>Tree has poor health and poor structure</t>
  </si>
  <si>
    <t>Declining crown, dead branches, poor health</t>
  </si>
  <si>
    <t>Austrian Pine</t>
  </si>
  <si>
    <t>Pinus nigra</t>
  </si>
  <si>
    <t>Tree has good health, some dead branches</t>
  </si>
  <si>
    <t>Codominant stems, one broken branch, fair health and structure</t>
  </si>
  <si>
    <t>Tree has good health ,fair structure, few dead branches</t>
  </si>
  <si>
    <t>Silver Maple</t>
  </si>
  <si>
    <t>Acer saccharinum</t>
  </si>
  <si>
    <t>45, 38</t>
  </si>
  <si>
    <t>Dead</t>
  </si>
  <si>
    <t>Tree is dead</t>
  </si>
  <si>
    <t>Close to the dead pine tree, structurally poor, poorly formed, poor health, declining condition</t>
  </si>
  <si>
    <t>Norway Maple</t>
  </si>
  <si>
    <t>Acer platanoides</t>
  </si>
  <si>
    <t>42, 33, 31, 22</t>
  </si>
  <si>
    <t>Significant crown dieback</t>
  </si>
  <si>
    <t>44, 38, 32</t>
  </si>
  <si>
    <t>Fair-poor</t>
  </si>
  <si>
    <t>Good-fair</t>
  </si>
  <si>
    <t>TPZ CIRCLES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</si>
</sst>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theme="1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</font>
    <font>
      <sz val="12"/>
      <color theme="1"/>
      <name val="Helvetica"/>
      <family val="2"/>
    </font>
    <font>
      <i/>
      <sz val="8"/>
      <color theme="1"/>
      <name val="Helvetica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4" fillId="2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2">
    <dxf>
      <fill>
        <patternFill>
          <bgColor theme="0" tint="-0.14993743705557422"/>
        </patternFill>
      </fill>
    </dxf>
    <dxf>
      <fill>
        <patternFill>
          <bgColor theme="0" tint="-4.9989318521683403E-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8"/>
  <sheetViews>
    <sheetView tabSelected="1" topLeftCell="A18" workbookViewId="0">
      <selection activeCell="E24" sqref="E24"/>
    </sheetView>
  </sheetViews>
  <sheetFormatPr defaultRowHeight="15.6" x14ac:dyDescent="0.3"/>
  <cols>
    <col min="6" max="6" width="33.59765625" hidden="1" customWidth="1"/>
    <col min="7" max="7" width="10.59765625" customWidth="1"/>
    <col min="8" max="8" width="10.8984375" customWidth="1"/>
  </cols>
  <sheetData>
    <row r="1" spans="1:18" s="11" customFormat="1" ht="41.1" customHeight="1" x14ac:dyDescent="0.25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tr">
        <f t="array" ref="F1">_xlfn.LET(
    _xlpm.species, _xlfn.UNIQUE(B:B),
    _xlpm.counts, COUNTIF(B:B, _xlpm.species),
    _xlpm.maxCount, MAX(_xlpm.counts),
    _xlpm.dominantSpecies, _xlfn._xlws.FILTER(_xlpm.species, _xlpm.counts = _xlpm.maxCount),
    "Dominant Species: " &amp; IF(COUNTA(_xlpm.dominantSpecies) &gt; 1, "N/A", INDEX(_xlpm.dominantSpecies, 1))
)</f>
        <v>Dominant Species: Austrian Pine</v>
      </c>
      <c r="G1" s="4"/>
      <c r="H1" s="7" t="s">
        <v>4</v>
      </c>
      <c r="I1" s="8" t="s">
        <v>5</v>
      </c>
      <c r="J1" s="9" t="s">
        <v>6</v>
      </c>
      <c r="K1" s="9" t="s">
        <v>6</v>
      </c>
      <c r="L1" s="9" t="s">
        <v>7</v>
      </c>
      <c r="M1" s="9" t="s">
        <v>8</v>
      </c>
      <c r="N1" s="9" t="s">
        <v>9</v>
      </c>
      <c r="O1" s="10" t="s">
        <v>10</v>
      </c>
    </row>
    <row r="2" spans="1:18" s="11" customFormat="1" ht="30.6" x14ac:dyDescent="0.3">
      <c r="A2" s="12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4" t="s">
        <v>18</v>
      </c>
      <c r="I2" s="15" t="s">
        <v>19</v>
      </c>
      <c r="J2" s="13" t="s">
        <v>20</v>
      </c>
      <c r="K2" s="13" t="s">
        <v>96</v>
      </c>
      <c r="L2" s="13" t="s">
        <v>21</v>
      </c>
      <c r="M2" s="13" t="s">
        <v>22</v>
      </c>
      <c r="N2" s="16" t="s">
        <v>23</v>
      </c>
      <c r="O2" s="16" t="s">
        <v>24</v>
      </c>
      <c r="P2" t="s">
        <v>25</v>
      </c>
      <c r="Q2" t="s">
        <v>26</v>
      </c>
      <c r="R2" t="s">
        <v>27</v>
      </c>
    </row>
    <row r="3" spans="1:18" s="11" customFormat="1" ht="21.45" customHeight="1" x14ac:dyDescent="0.3">
      <c r="A3" s="17">
        <v>1</v>
      </c>
      <c r="B3" s="17" t="s">
        <v>28</v>
      </c>
      <c r="C3" s="19" t="s">
        <v>29</v>
      </c>
      <c r="D3" s="17">
        <v>72</v>
      </c>
      <c r="E3" s="17" t="s">
        <v>30</v>
      </c>
      <c r="F3" s="17" t="s">
        <v>31</v>
      </c>
      <c r="G3" s="17" t="s">
        <v>32</v>
      </c>
      <c r="H3" s="17">
        <v>6</v>
      </c>
      <c r="I3" s="17" t="s">
        <v>35</v>
      </c>
      <c r="J3" s="17">
        <f t="array" ref="J3">IF(I3="Remove", "N/A",
 IF(MAX(VALUE(TRIM(_xlfn.TEXTSPLIT(D3, ", "))))&lt;30, H3, H3*2))</f>
        <v>12</v>
      </c>
      <c r="K3" s="17" cm="1">
        <f t="array" ref="K3">IF(MAX(VALUE(TRIM(_xlfn.TEXTSPLIT(D3, ", "))))&lt;30, H3, H3*2)</f>
        <v>12</v>
      </c>
      <c r="L3" s="17" t="str">
        <f t="shared" ref="L3:L28" si="0">IF(OR(I3="injury", I3="removal", I3="remove"), "Yes", "No")</f>
        <v>Yes</v>
      </c>
      <c r="M3" s="18">
        <f t="array" ref="M3">SQRT(SUMPRODUCT(--_xlfn.TEXTSPLIT(D3, ", "), --_xlfn.TEXTSPLIT(D3, ", ")))</f>
        <v>72</v>
      </c>
      <c r="N3" s="18">
        <f t="shared" ref="N3:N41" si="1">(J3*2)+(0.01)*((M3))</f>
        <v>24.72</v>
      </c>
      <c r="O3" s="10">
        <f t="shared" ref="O3:O41" si="2">(N3 * 1000) / VALUE(MID(O$2, FIND(":", O$2) + 1, LEN(O$2) - FIND(":", O$2)))</f>
        <v>49.44</v>
      </c>
      <c r="P3">
        <v>400.61</v>
      </c>
      <c r="Q3">
        <v>-171.81</v>
      </c>
      <c r="R3">
        <v>2</v>
      </c>
    </row>
    <row r="4" spans="1:18" ht="21.45" customHeight="1" x14ac:dyDescent="0.3">
      <c r="A4" s="17">
        <v>2</v>
      </c>
      <c r="B4" s="17" t="s">
        <v>28</v>
      </c>
      <c r="C4" s="19" t="s">
        <v>29</v>
      </c>
      <c r="D4" s="17">
        <v>65</v>
      </c>
      <c r="E4" s="17" t="s">
        <v>30</v>
      </c>
      <c r="F4" s="17" t="s">
        <v>34</v>
      </c>
      <c r="G4" s="17" t="s">
        <v>32</v>
      </c>
      <c r="H4" s="17">
        <v>5</v>
      </c>
      <c r="I4" s="17" t="s">
        <v>35</v>
      </c>
      <c r="J4" s="17">
        <f t="array" ref="J4">IF(I4="Remove", "N/A",
 IF(MAX(VALUE(TRIM(_xlfn.TEXTSPLIT(D4, ", "))))&lt;30, H4, H4*2))</f>
        <v>10</v>
      </c>
      <c r="K4" s="17" cm="1">
        <f t="array" ref="K4">IF(MAX(VALUE(TRIM(_xlfn.TEXTSPLIT(D4, ", "))))&lt;30, H4, H4*2)</f>
        <v>10</v>
      </c>
      <c r="L4" s="17" t="str">
        <f t="shared" si="0"/>
        <v>Yes</v>
      </c>
      <c r="M4" s="18">
        <f t="array" ref="M4">SQRT(SUMPRODUCT(--_xlfn.TEXTSPLIT(D4, ", "), --_xlfn.TEXTSPLIT(D4, ", ")))</f>
        <v>65</v>
      </c>
      <c r="N4" s="18">
        <f t="shared" si="1"/>
        <v>20.65</v>
      </c>
      <c r="O4" s="10">
        <f t="shared" si="2"/>
        <v>41.3</v>
      </c>
      <c r="P4">
        <v>339.4</v>
      </c>
      <c r="Q4">
        <v>-173.85</v>
      </c>
      <c r="R4">
        <v>2</v>
      </c>
    </row>
    <row r="5" spans="1:18" ht="20.55" customHeight="1" x14ac:dyDescent="0.3">
      <c r="A5" s="17">
        <v>3</v>
      </c>
      <c r="B5" s="17" t="s">
        <v>36</v>
      </c>
      <c r="C5" s="19" t="s">
        <v>37</v>
      </c>
      <c r="D5" s="17" t="s">
        <v>38</v>
      </c>
      <c r="E5" s="17" t="s">
        <v>39</v>
      </c>
      <c r="F5" s="17" t="s">
        <v>40</v>
      </c>
      <c r="G5" s="17" t="s">
        <v>32</v>
      </c>
      <c r="H5" s="17">
        <v>5</v>
      </c>
      <c r="I5" s="17" t="s">
        <v>41</v>
      </c>
      <c r="J5" s="17" t="str">
        <f t="array" ref="J5">IF(I5="Remove", "N/A",
 IF(MAX(VALUE(TRIM(_xlfn.TEXTSPLIT(D5, ", "))))&lt;30, H5, H5*2))</f>
        <v>N/A</v>
      </c>
      <c r="K5" s="17" cm="1">
        <f t="array" ref="K5">IF(MAX(VALUE(TRIM(_xlfn.TEXTSPLIT(D5, ", "))))&lt;30, H5, H5*2)</f>
        <v>10</v>
      </c>
      <c r="L5" s="17" t="str">
        <f t="shared" si="0"/>
        <v>Yes</v>
      </c>
      <c r="M5" s="18">
        <f t="array" ref="M5">SQRT(SUMPRODUCT(--_xlfn.TEXTSPLIT(D5, ", "), --_xlfn.TEXTSPLIT(D5, ", ")))</f>
        <v>67.475921631349351</v>
      </c>
      <c r="N5" s="18" t="e">
        <f t="shared" si="1"/>
        <v>#VALUE!</v>
      </c>
      <c r="O5" s="10" t="e">
        <f t="shared" si="2"/>
        <v>#VALUE!</v>
      </c>
      <c r="P5">
        <v>236.62</v>
      </c>
      <c r="Q5">
        <v>-213.01</v>
      </c>
      <c r="R5">
        <v>2</v>
      </c>
    </row>
    <row r="6" spans="1:18" x14ac:dyDescent="0.3">
      <c r="A6" s="17">
        <v>4</v>
      </c>
      <c r="B6" s="17" t="s">
        <v>42</v>
      </c>
      <c r="C6" s="19" t="s">
        <v>43</v>
      </c>
      <c r="D6" s="17">
        <v>34</v>
      </c>
      <c r="E6" s="17" t="s">
        <v>30</v>
      </c>
      <c r="F6" s="17" t="s">
        <v>44</v>
      </c>
      <c r="G6" s="17" t="s">
        <v>32</v>
      </c>
      <c r="H6" s="17">
        <v>2</v>
      </c>
      <c r="I6" s="17" t="s">
        <v>33</v>
      </c>
      <c r="J6" s="17">
        <f t="array" ref="J6">IF(I6="Remove", "N/A",
 IF(MAX(VALUE(TRIM(_xlfn.TEXTSPLIT(D6, ", "))))&lt;30, H6, H6*2))</f>
        <v>4</v>
      </c>
      <c r="K6" s="17" cm="1">
        <f t="array" ref="K6">IF(MAX(VALUE(TRIM(_xlfn.TEXTSPLIT(D6, ", "))))&lt;30, H6, H6*2)</f>
        <v>4</v>
      </c>
      <c r="L6" s="17" t="str">
        <f t="shared" si="0"/>
        <v>No</v>
      </c>
      <c r="M6" s="18">
        <f t="array" ref="M6">SQRT(SUMPRODUCT(--_xlfn.TEXTSPLIT(D6, ", "), --_xlfn.TEXTSPLIT(D6, ", ")))</f>
        <v>34</v>
      </c>
      <c r="N6" s="18">
        <f t="shared" si="1"/>
        <v>8.34</v>
      </c>
      <c r="O6" s="10">
        <f t="shared" si="2"/>
        <v>16.68</v>
      </c>
      <c r="P6">
        <v>182.26</v>
      </c>
      <c r="Q6">
        <v>-179.53</v>
      </c>
      <c r="R6">
        <v>2</v>
      </c>
    </row>
    <row r="7" spans="1:18" x14ac:dyDescent="0.3">
      <c r="A7" s="17">
        <v>5</v>
      </c>
      <c r="B7" s="17" t="s">
        <v>42</v>
      </c>
      <c r="C7" s="19" t="s">
        <v>43</v>
      </c>
      <c r="D7" s="17">
        <v>38</v>
      </c>
      <c r="E7" s="17" t="s">
        <v>30</v>
      </c>
      <c r="F7" s="17" t="s">
        <v>45</v>
      </c>
      <c r="G7" s="17" t="s">
        <v>32</v>
      </c>
      <c r="H7" s="17">
        <v>2</v>
      </c>
      <c r="I7" s="17" t="s">
        <v>41</v>
      </c>
      <c r="J7" s="17" t="str">
        <f t="array" ref="J7">IF(I7="Remove", "N/A",
 IF(MAX(VALUE(TRIM(_xlfn.TEXTSPLIT(D7, ", "))))&lt;30, H7, H7*2))</f>
        <v>N/A</v>
      </c>
      <c r="K7" s="17" cm="1">
        <f t="array" ref="K7">IF(MAX(VALUE(TRIM(_xlfn.TEXTSPLIT(D7, ", "))))&lt;30, H7, H7*2)</f>
        <v>4</v>
      </c>
      <c r="L7" s="17" t="str">
        <f t="shared" si="0"/>
        <v>Yes</v>
      </c>
      <c r="M7" s="18">
        <f t="array" ref="M7">SQRT(SUMPRODUCT(--_xlfn.TEXTSPLIT(D7, ", "), --_xlfn.TEXTSPLIT(D7, ", ")))</f>
        <v>38</v>
      </c>
      <c r="N7" s="18" t="e">
        <f t="shared" si="1"/>
        <v>#VALUE!</v>
      </c>
      <c r="O7" s="10" t="e">
        <f t="shared" si="2"/>
        <v>#VALUE!</v>
      </c>
      <c r="P7">
        <v>123.5</v>
      </c>
      <c r="Q7">
        <v>-138.05000000000001</v>
      </c>
      <c r="R7">
        <v>2</v>
      </c>
    </row>
    <row r="8" spans="1:18" x14ac:dyDescent="0.3">
      <c r="A8" s="17">
        <v>6</v>
      </c>
      <c r="B8" s="17" t="s">
        <v>42</v>
      </c>
      <c r="C8" s="19" t="s">
        <v>43</v>
      </c>
      <c r="D8" s="17">
        <v>35</v>
      </c>
      <c r="E8" s="17" t="s">
        <v>30</v>
      </c>
      <c r="F8" s="17" t="s">
        <v>44</v>
      </c>
      <c r="G8" s="17" t="s">
        <v>32</v>
      </c>
      <c r="H8" s="17">
        <v>2</v>
      </c>
      <c r="I8" s="17" t="s">
        <v>41</v>
      </c>
      <c r="J8" s="17" t="str">
        <f t="array" ref="J8">IF(I8="Remove", "N/A",
 IF(MAX(VALUE(TRIM(_xlfn.TEXTSPLIT(D8, ", "))))&lt;30, H8, H8*2))</f>
        <v>N/A</v>
      </c>
      <c r="K8" s="17" cm="1">
        <f t="array" ref="K8">IF(MAX(VALUE(TRIM(_xlfn.TEXTSPLIT(D8, ", "))))&lt;30, H8, H8*2)</f>
        <v>4</v>
      </c>
      <c r="L8" s="17" t="str">
        <f t="shared" si="0"/>
        <v>Yes</v>
      </c>
      <c r="M8" s="18">
        <f t="array" ref="M8">SQRT(SUMPRODUCT(--_xlfn.TEXTSPLIT(D8, ", "), --_xlfn.TEXTSPLIT(D8, ", ")))</f>
        <v>35</v>
      </c>
      <c r="N8" s="18" t="e">
        <f t="shared" si="1"/>
        <v>#VALUE!</v>
      </c>
      <c r="O8" s="10" t="e">
        <f t="shared" si="2"/>
        <v>#VALUE!</v>
      </c>
      <c r="P8">
        <v>80.679399967192694</v>
      </c>
      <c r="Q8">
        <v>-103.652926368569</v>
      </c>
      <c r="R8">
        <v>2</v>
      </c>
    </row>
    <row r="9" spans="1:18" x14ac:dyDescent="0.3">
      <c r="A9" s="17">
        <v>7</v>
      </c>
      <c r="B9" s="17" t="s">
        <v>42</v>
      </c>
      <c r="C9" s="19" t="s">
        <v>43</v>
      </c>
      <c r="D9" s="17">
        <v>66</v>
      </c>
      <c r="E9" s="17" t="s">
        <v>30</v>
      </c>
      <c r="F9" s="17" t="s">
        <v>44</v>
      </c>
      <c r="G9" s="17" t="s">
        <v>32</v>
      </c>
      <c r="H9" s="17">
        <v>4</v>
      </c>
      <c r="I9" s="17" t="s">
        <v>41</v>
      </c>
      <c r="J9" s="17" t="str">
        <f t="array" ref="J9">IF(I9="Remove", "N/A",
 IF(MAX(VALUE(TRIM(_xlfn.TEXTSPLIT(D9, ", "))))&lt;30, H9, H9*2))</f>
        <v>N/A</v>
      </c>
      <c r="K9" s="17" cm="1">
        <f t="array" ref="K9">IF(MAX(VALUE(TRIM(_xlfn.TEXTSPLIT(D9, ", "))))&lt;30, H9, H9*2)</f>
        <v>8</v>
      </c>
      <c r="L9" s="17" t="str">
        <f t="shared" si="0"/>
        <v>Yes</v>
      </c>
      <c r="M9" s="18">
        <f t="array" ref="M9">SQRT(SUMPRODUCT(--_xlfn.TEXTSPLIT(D9, ", "), --_xlfn.TEXTSPLIT(D9, ", ")))</f>
        <v>66</v>
      </c>
      <c r="N9" s="18" t="e">
        <f t="shared" si="1"/>
        <v>#VALUE!</v>
      </c>
      <c r="O9" s="10" t="e">
        <f t="shared" si="2"/>
        <v>#VALUE!</v>
      </c>
      <c r="P9">
        <v>46.719439029692701</v>
      </c>
      <c r="Q9">
        <v>-65.373019142006299</v>
      </c>
      <c r="R9">
        <v>2</v>
      </c>
    </row>
    <row r="10" spans="1:18" ht="20.55" customHeight="1" x14ac:dyDescent="0.3">
      <c r="A10" s="17">
        <v>8</v>
      </c>
      <c r="B10" s="17" t="s">
        <v>46</v>
      </c>
      <c r="C10" s="19" t="s">
        <v>47</v>
      </c>
      <c r="D10" s="17">
        <v>42</v>
      </c>
      <c r="E10" s="17" t="s">
        <v>30</v>
      </c>
      <c r="F10" s="17" t="s">
        <v>48</v>
      </c>
      <c r="G10" s="17" t="s">
        <v>32</v>
      </c>
      <c r="H10" s="17">
        <v>3</v>
      </c>
      <c r="I10" s="17" t="s">
        <v>41</v>
      </c>
      <c r="J10" s="17" t="str">
        <f t="array" ref="J10">IF(I10="Remove", "N/A",
 IF(MAX(VALUE(TRIM(_xlfn.TEXTSPLIT(D10, ", "))))&lt;30, H10, H10*2))</f>
        <v>N/A</v>
      </c>
      <c r="K10" s="17" cm="1">
        <f t="array" ref="K10">IF(MAX(VALUE(TRIM(_xlfn.TEXTSPLIT(D10, ", "))))&lt;30, H10, H10*2)</f>
        <v>6</v>
      </c>
      <c r="L10" s="17" t="str">
        <f t="shared" si="0"/>
        <v>Yes</v>
      </c>
      <c r="M10" s="18">
        <f t="array" ref="M10">SQRT(SUMPRODUCT(--_xlfn.TEXTSPLIT(D10, ", "), --_xlfn.TEXTSPLIT(D10, ", ")))</f>
        <v>42</v>
      </c>
      <c r="N10" s="18" t="e">
        <f t="shared" si="1"/>
        <v>#VALUE!</v>
      </c>
      <c r="O10" s="10" t="e">
        <f t="shared" si="2"/>
        <v>#VALUE!</v>
      </c>
      <c r="P10">
        <v>246.75935602188</v>
      </c>
      <c r="Q10">
        <v>-7.1729458998188402</v>
      </c>
      <c r="R10">
        <v>2</v>
      </c>
    </row>
    <row r="11" spans="1:18" x14ac:dyDescent="0.3">
      <c r="A11" s="17">
        <v>9</v>
      </c>
      <c r="B11" s="17" t="s">
        <v>42</v>
      </c>
      <c r="C11" s="19" t="s">
        <v>43</v>
      </c>
      <c r="D11" s="17">
        <v>39</v>
      </c>
      <c r="E11" s="17" t="s">
        <v>39</v>
      </c>
      <c r="F11" s="17" t="s">
        <v>49</v>
      </c>
      <c r="G11" s="17" t="s">
        <v>32</v>
      </c>
      <c r="H11" s="17">
        <v>2</v>
      </c>
      <c r="I11" s="17" t="s">
        <v>41</v>
      </c>
      <c r="J11" s="17" t="str">
        <f t="array" ref="J11">IF(I11="Remove", "N/A",
 IF(MAX(VALUE(TRIM(_xlfn.TEXTSPLIT(D11, ", "))))&lt;30, H11, H11*2))</f>
        <v>N/A</v>
      </c>
      <c r="K11" s="17" cm="1">
        <f t="array" ref="K11">IF(MAX(VALUE(TRIM(_xlfn.TEXTSPLIT(D11, ", "))))&lt;30, H11, H11*2)</f>
        <v>4</v>
      </c>
      <c r="L11" s="17" t="str">
        <f t="shared" si="0"/>
        <v>Yes</v>
      </c>
      <c r="M11" s="18">
        <f t="array" ref="M11">SQRT(SUMPRODUCT(--_xlfn.TEXTSPLIT(D11, ", "), --_xlfn.TEXTSPLIT(D11, ", ")))</f>
        <v>39</v>
      </c>
      <c r="N11" s="18" t="e">
        <f t="shared" si="1"/>
        <v>#VALUE!</v>
      </c>
      <c r="O11" s="10" t="e">
        <f t="shared" si="2"/>
        <v>#VALUE!</v>
      </c>
      <c r="P11">
        <v>297.33999999999997</v>
      </c>
      <c r="Q11">
        <v>-47.05</v>
      </c>
      <c r="R11">
        <v>2</v>
      </c>
    </row>
    <row r="12" spans="1:18" ht="21.45" customHeight="1" x14ac:dyDescent="0.3">
      <c r="A12" s="17">
        <v>10</v>
      </c>
      <c r="B12" s="17" t="s">
        <v>50</v>
      </c>
      <c r="C12" s="19" t="s">
        <v>51</v>
      </c>
      <c r="D12" s="17" t="s">
        <v>52</v>
      </c>
      <c r="E12" s="17" t="s">
        <v>30</v>
      </c>
      <c r="F12" s="17" t="s">
        <v>53</v>
      </c>
      <c r="G12" s="17" t="s">
        <v>32</v>
      </c>
      <c r="H12" s="17">
        <v>7</v>
      </c>
      <c r="I12" s="17" t="s">
        <v>41</v>
      </c>
      <c r="J12" s="17" t="str">
        <f t="array" ref="J12">IF(I12="Remove", "N/A",
 IF(MAX(VALUE(TRIM(_xlfn.TEXTSPLIT(D12, ", "))))&lt;30, H12, H12*2))</f>
        <v>N/A</v>
      </c>
      <c r="K12" s="17" cm="1">
        <f t="array" ref="K12">IF(MAX(VALUE(TRIM(_xlfn.TEXTSPLIT(D12, ", "))))&lt;30, H12, H12*2)</f>
        <v>14</v>
      </c>
      <c r="L12" s="17" t="str">
        <f t="shared" si="0"/>
        <v>Yes</v>
      </c>
      <c r="M12" s="18">
        <f t="array" ref="M12">SQRT(SUMPRODUCT(--_xlfn.TEXTSPLIT(D12, ", "), --_xlfn.TEXTSPLIT(D12, ", ")))</f>
        <v>92.200867674876037</v>
      </c>
      <c r="N12" s="18" t="e">
        <f t="shared" si="1"/>
        <v>#VALUE!</v>
      </c>
      <c r="O12" s="10" t="e">
        <f t="shared" si="2"/>
        <v>#VALUE!</v>
      </c>
      <c r="P12">
        <v>260.62</v>
      </c>
      <c r="Q12">
        <v>-96.01</v>
      </c>
      <c r="R12">
        <v>2</v>
      </c>
    </row>
    <row r="13" spans="1:18" ht="21.45" customHeight="1" x14ac:dyDescent="0.3">
      <c r="A13" s="17">
        <v>11</v>
      </c>
      <c r="B13" s="17" t="s">
        <v>54</v>
      </c>
      <c r="C13" s="19" t="s">
        <v>55</v>
      </c>
      <c r="D13" s="17">
        <v>67</v>
      </c>
      <c r="E13" s="17" t="s">
        <v>39</v>
      </c>
      <c r="F13" s="17" t="s">
        <v>56</v>
      </c>
      <c r="G13" s="17" t="s">
        <v>32</v>
      </c>
      <c r="H13" s="17">
        <v>5</v>
      </c>
      <c r="I13" s="17" t="s">
        <v>57</v>
      </c>
      <c r="J13" s="17">
        <f t="array" ref="J13">IF(I13="Remove", "N/A",
 IF(MAX(VALUE(TRIM(_xlfn.TEXTSPLIT(D13, ", "))))&lt;30, H13, H13*2))</f>
        <v>10</v>
      </c>
      <c r="K13" s="17" cm="1">
        <f t="array" ref="K13">IF(MAX(VALUE(TRIM(_xlfn.TEXTSPLIT(D13, ", "))))&lt;30, H13, H13*2)</f>
        <v>10</v>
      </c>
      <c r="L13" s="17" t="str">
        <f t="shared" si="0"/>
        <v>No</v>
      </c>
      <c r="M13" s="18">
        <f t="array" ref="M13">SQRT(SUMPRODUCT(--_xlfn.TEXTSPLIT(D13, ", "), --_xlfn.TEXTSPLIT(D13, ", ")))</f>
        <v>67</v>
      </c>
      <c r="N13" s="18">
        <f t="shared" si="1"/>
        <v>20.67</v>
      </c>
      <c r="O13" s="10">
        <f t="shared" si="2"/>
        <v>41.34</v>
      </c>
      <c r="P13">
        <v>503.62</v>
      </c>
      <c r="Q13">
        <v>-38.65</v>
      </c>
      <c r="R13">
        <v>2</v>
      </c>
    </row>
    <row r="14" spans="1:18" ht="21.45" customHeight="1" x14ac:dyDescent="0.3">
      <c r="A14" s="17">
        <v>12</v>
      </c>
      <c r="B14" s="17" t="s">
        <v>54</v>
      </c>
      <c r="C14" s="19" t="s">
        <v>55</v>
      </c>
      <c r="D14" s="17">
        <v>47</v>
      </c>
      <c r="E14" s="17" t="s">
        <v>39</v>
      </c>
      <c r="F14" s="17" t="s">
        <v>58</v>
      </c>
      <c r="G14" s="17" t="s">
        <v>32</v>
      </c>
      <c r="H14" s="17">
        <v>3</v>
      </c>
      <c r="I14" s="17" t="s">
        <v>57</v>
      </c>
      <c r="J14" s="17">
        <f t="array" ref="J14">IF(I14="Remove", "N/A",
 IF(MAX(VALUE(TRIM(_xlfn.TEXTSPLIT(D14, ", "))))&lt;30, H14, H14*2))</f>
        <v>6</v>
      </c>
      <c r="K14" s="17" cm="1">
        <f t="array" ref="K14">IF(MAX(VALUE(TRIM(_xlfn.TEXTSPLIT(D14, ", "))))&lt;30, H14, H14*2)</f>
        <v>6</v>
      </c>
      <c r="L14" s="17" t="str">
        <f t="shared" si="0"/>
        <v>No</v>
      </c>
      <c r="M14" s="18">
        <f t="array" ref="M14">SQRT(SUMPRODUCT(--_xlfn.TEXTSPLIT(D14, ", "), --_xlfn.TEXTSPLIT(D14, ", ")))</f>
        <v>47</v>
      </c>
      <c r="N14" s="18">
        <f t="shared" si="1"/>
        <v>12.47</v>
      </c>
      <c r="O14" s="10">
        <f t="shared" si="2"/>
        <v>24.94</v>
      </c>
      <c r="P14">
        <v>538.54</v>
      </c>
      <c r="Q14">
        <v>-52.69</v>
      </c>
      <c r="R14">
        <v>2</v>
      </c>
    </row>
    <row r="15" spans="1:18" ht="21.45" customHeight="1" x14ac:dyDescent="0.3">
      <c r="A15" s="17">
        <v>13</v>
      </c>
      <c r="B15" s="17" t="s">
        <v>59</v>
      </c>
      <c r="C15" s="19" t="s">
        <v>60</v>
      </c>
      <c r="D15" s="17">
        <v>44</v>
      </c>
      <c r="E15" s="17" t="s">
        <v>39</v>
      </c>
      <c r="F15" s="17" t="s">
        <v>61</v>
      </c>
      <c r="G15" s="17" t="s">
        <v>32</v>
      </c>
      <c r="H15" s="17">
        <v>3</v>
      </c>
      <c r="I15" s="17" t="s">
        <v>57</v>
      </c>
      <c r="J15" s="17">
        <f t="array" ref="J15">IF(I15="Remove", "N/A",
 IF(MAX(VALUE(TRIM(_xlfn.TEXTSPLIT(D15, ", "))))&lt;30, H15, H15*2))</f>
        <v>6</v>
      </c>
      <c r="K15" s="17" cm="1">
        <f t="array" ref="K15">IF(MAX(VALUE(TRIM(_xlfn.TEXTSPLIT(D15, ", "))))&lt;30, H15, H15*2)</f>
        <v>6</v>
      </c>
      <c r="L15" s="17" t="str">
        <f t="shared" si="0"/>
        <v>No</v>
      </c>
      <c r="M15" s="18">
        <f t="array" ref="M15">SQRT(SUMPRODUCT(--_xlfn.TEXTSPLIT(D15, ", "), --_xlfn.TEXTSPLIT(D15, ", ")))</f>
        <v>44</v>
      </c>
      <c r="N15" s="18">
        <f t="shared" si="1"/>
        <v>12.44</v>
      </c>
      <c r="O15" s="10">
        <f t="shared" si="2"/>
        <v>24.88</v>
      </c>
      <c r="P15">
        <v>545.14</v>
      </c>
      <c r="Q15">
        <v>-76.33</v>
      </c>
      <c r="R15">
        <v>2</v>
      </c>
    </row>
    <row r="16" spans="1:18" ht="20.55" customHeight="1" x14ac:dyDescent="0.3">
      <c r="A16" s="17">
        <v>14</v>
      </c>
      <c r="B16" s="17" t="s">
        <v>36</v>
      </c>
      <c r="C16" s="19" t="s">
        <v>37</v>
      </c>
      <c r="D16" s="17" t="s">
        <v>62</v>
      </c>
      <c r="E16" s="17" t="s">
        <v>63</v>
      </c>
      <c r="F16" s="17" t="s">
        <v>64</v>
      </c>
      <c r="G16" s="17" t="s">
        <v>32</v>
      </c>
      <c r="H16" s="17">
        <v>5</v>
      </c>
      <c r="I16" s="17" t="s">
        <v>57</v>
      </c>
      <c r="J16" s="17">
        <f t="array" ref="J16">IF(I16="Remove", "N/A",
 IF(MAX(VALUE(TRIM(_xlfn.TEXTSPLIT(D16, ", "))))&lt;30, H16, H16*2))</f>
        <v>10</v>
      </c>
      <c r="K16" s="17" cm="1">
        <f t="array" ref="K16">IF(MAX(VALUE(TRIM(_xlfn.TEXTSPLIT(D16, ", "))))&lt;30, H16, H16*2)</f>
        <v>10</v>
      </c>
      <c r="L16" s="17" t="str">
        <f t="shared" si="0"/>
        <v>No</v>
      </c>
      <c r="M16" s="18">
        <f t="array" ref="M16">SQRT(SUMPRODUCT(--_xlfn.TEXTSPLIT(D16, ", "), --_xlfn.TEXTSPLIT(D16, ", ")))</f>
        <v>80.752708932889675</v>
      </c>
      <c r="N16" s="18">
        <f t="shared" si="1"/>
        <v>20.807527089328897</v>
      </c>
      <c r="O16" s="10">
        <f t="shared" si="2"/>
        <v>41.615054178657793</v>
      </c>
      <c r="P16">
        <v>500.02</v>
      </c>
      <c r="Q16">
        <v>-113.77</v>
      </c>
      <c r="R16">
        <v>2</v>
      </c>
    </row>
    <row r="17" spans="1:18" ht="21.45" customHeight="1" x14ac:dyDescent="0.3">
      <c r="A17" s="17">
        <v>15</v>
      </c>
      <c r="B17" s="17" t="s">
        <v>65</v>
      </c>
      <c r="C17" s="19" t="s">
        <v>66</v>
      </c>
      <c r="D17" s="17">
        <v>60</v>
      </c>
      <c r="E17" s="17" t="s">
        <v>30</v>
      </c>
      <c r="F17" s="17" t="s">
        <v>44</v>
      </c>
      <c r="G17" s="17" t="s">
        <v>32</v>
      </c>
      <c r="H17" s="17">
        <v>5</v>
      </c>
      <c r="I17" s="17" t="s">
        <v>57</v>
      </c>
      <c r="J17" s="17">
        <f t="array" ref="J17">IF(I17="Remove", "N/A",
 IF(MAX(VALUE(TRIM(_xlfn.TEXTSPLIT(D17, ", "))))&lt;30, H17, H17*2))</f>
        <v>10</v>
      </c>
      <c r="K17" s="17" cm="1">
        <f t="array" ref="K17">IF(MAX(VALUE(TRIM(_xlfn.TEXTSPLIT(D17, ", "))))&lt;30, H17, H17*2)</f>
        <v>10</v>
      </c>
      <c r="L17" s="17" t="str">
        <f t="shared" si="0"/>
        <v>No</v>
      </c>
      <c r="M17" s="18">
        <f t="array" ref="M17">SQRT(SUMPRODUCT(--_xlfn.TEXTSPLIT(D17, ", "), --_xlfn.TEXTSPLIT(D17, ", ")))</f>
        <v>60</v>
      </c>
      <c r="N17" s="18">
        <f t="shared" si="1"/>
        <v>20.6</v>
      </c>
      <c r="O17" s="10">
        <f t="shared" si="2"/>
        <v>41.2</v>
      </c>
      <c r="P17">
        <v>575.67939996719304</v>
      </c>
      <c r="Q17">
        <v>-184.772921485756</v>
      </c>
      <c r="R17">
        <v>2</v>
      </c>
    </row>
    <row r="18" spans="1:18" ht="21.45" customHeight="1" x14ac:dyDescent="0.3">
      <c r="A18" s="17">
        <v>16</v>
      </c>
      <c r="B18" s="17" t="s">
        <v>65</v>
      </c>
      <c r="C18" s="19" t="s">
        <v>66</v>
      </c>
      <c r="D18" s="17">
        <v>80</v>
      </c>
      <c r="E18" s="17" t="s">
        <v>30</v>
      </c>
      <c r="F18" s="17" t="s">
        <v>44</v>
      </c>
      <c r="G18" s="17" t="s">
        <v>32</v>
      </c>
      <c r="H18" s="17">
        <v>6</v>
      </c>
      <c r="I18" s="17" t="s">
        <v>57</v>
      </c>
      <c r="J18" s="17">
        <f t="array" ref="J18">IF(I18="Remove", "N/A",
 IF(MAX(VALUE(TRIM(_xlfn.TEXTSPLIT(D18, ", "))))&lt;30, H18, H18*2))</f>
        <v>12</v>
      </c>
      <c r="K18" s="17" cm="1">
        <f t="array" ref="K18">IF(MAX(VALUE(TRIM(_xlfn.TEXTSPLIT(D18, ", "))))&lt;30, H18, H18*2)</f>
        <v>12</v>
      </c>
      <c r="L18" s="17" t="str">
        <f t="shared" si="0"/>
        <v>No</v>
      </c>
      <c r="M18" s="18">
        <f t="array" ref="M18">SQRT(SUMPRODUCT(--_xlfn.TEXTSPLIT(D18, ", "), --_xlfn.TEXTSPLIT(D18, ", ")))</f>
        <v>80</v>
      </c>
      <c r="N18" s="18">
        <f t="shared" si="1"/>
        <v>24.8</v>
      </c>
      <c r="O18" s="10">
        <f t="shared" si="2"/>
        <v>49.6</v>
      </c>
      <c r="P18">
        <v>545.86</v>
      </c>
      <c r="Q18">
        <v>-257.05</v>
      </c>
      <c r="R18">
        <v>2</v>
      </c>
    </row>
    <row r="19" spans="1:18" ht="20.55" customHeight="1" x14ac:dyDescent="0.3">
      <c r="A19" s="17">
        <v>17</v>
      </c>
      <c r="B19" s="17" t="s">
        <v>67</v>
      </c>
      <c r="C19" s="19" t="s">
        <v>68</v>
      </c>
      <c r="D19" s="17">
        <v>30</v>
      </c>
      <c r="E19" s="17" t="s">
        <v>39</v>
      </c>
      <c r="F19" s="17" t="s">
        <v>69</v>
      </c>
      <c r="G19" s="17" t="s">
        <v>32</v>
      </c>
      <c r="H19" s="17">
        <v>2</v>
      </c>
      <c r="I19" s="17" t="s">
        <v>33</v>
      </c>
      <c r="J19" s="17">
        <f t="array" ref="J19">IF(I19="Remove", "N/A",
 IF(MAX(VALUE(TRIM(_xlfn.TEXTSPLIT(D19, ", "))))&lt;30, H19, H19*2))</f>
        <v>4</v>
      </c>
      <c r="K19" s="17" cm="1">
        <f t="array" ref="K19">IF(MAX(VALUE(TRIM(_xlfn.TEXTSPLIT(D19, ", "))))&lt;30, H19, H19*2)</f>
        <v>4</v>
      </c>
      <c r="L19" s="17" t="str">
        <f t="shared" si="0"/>
        <v>No</v>
      </c>
      <c r="M19" s="18">
        <f t="array" ref="M19">SQRT(SUMPRODUCT(--_xlfn.TEXTSPLIT(D19, ", "), --_xlfn.TEXTSPLIT(D19, ", ")))</f>
        <v>30</v>
      </c>
      <c r="N19" s="18">
        <f t="shared" si="1"/>
        <v>8.3000000000000007</v>
      </c>
      <c r="O19" s="10">
        <f t="shared" si="2"/>
        <v>16.600000000000001</v>
      </c>
      <c r="P19">
        <v>-473.00065374374498</v>
      </c>
      <c r="Q19">
        <v>-65.613009376381299</v>
      </c>
      <c r="R19">
        <v>2</v>
      </c>
    </row>
    <row r="20" spans="1:18" ht="20.55" customHeight="1" x14ac:dyDescent="0.3">
      <c r="A20" s="17">
        <v>18</v>
      </c>
      <c r="B20" s="17" t="s">
        <v>67</v>
      </c>
      <c r="C20" s="19" t="s">
        <v>68</v>
      </c>
      <c r="D20" s="17">
        <v>55</v>
      </c>
      <c r="E20" s="17" t="s">
        <v>30</v>
      </c>
      <c r="F20" s="17" t="s">
        <v>70</v>
      </c>
      <c r="G20" s="17" t="s">
        <v>32</v>
      </c>
      <c r="H20" s="17">
        <v>4</v>
      </c>
      <c r="I20" s="17" t="s">
        <v>41</v>
      </c>
      <c r="J20" s="17" t="str">
        <f t="array" ref="J20">IF(I20="Remove", "N/A",
 IF(MAX(VALUE(TRIM(_xlfn.TEXTSPLIT(D20, ", "))))&lt;30, H20, H20*2))</f>
        <v>N/A</v>
      </c>
      <c r="K20" s="17" cm="1">
        <f t="array" ref="K20">IF(MAX(VALUE(TRIM(_xlfn.TEXTSPLIT(D20, ", "))))&lt;30, H20, H20*2)</f>
        <v>8</v>
      </c>
      <c r="L20" s="17" t="str">
        <f t="shared" si="0"/>
        <v>Yes</v>
      </c>
      <c r="M20" s="18">
        <f t="array" ref="M20">SQRT(SUMPRODUCT(--_xlfn.TEXTSPLIT(D20, ", "), --_xlfn.TEXTSPLIT(D20, ", ")))</f>
        <v>55</v>
      </c>
      <c r="N20" s="18" t="e">
        <f t="shared" si="1"/>
        <v>#VALUE!</v>
      </c>
      <c r="O20" s="10" t="e">
        <f t="shared" si="2"/>
        <v>#VALUE!</v>
      </c>
      <c r="P20">
        <v>-468.5</v>
      </c>
      <c r="Q20">
        <v>-10.66</v>
      </c>
      <c r="R20">
        <v>2</v>
      </c>
    </row>
    <row r="21" spans="1:18" ht="21.45" customHeight="1" x14ac:dyDescent="0.3">
      <c r="A21" s="17">
        <v>19</v>
      </c>
      <c r="B21" s="17" t="s">
        <v>65</v>
      </c>
      <c r="C21" s="19" t="s">
        <v>66</v>
      </c>
      <c r="D21" s="17">
        <v>69</v>
      </c>
      <c r="E21" s="17" t="s">
        <v>30</v>
      </c>
      <c r="F21" s="17" t="s">
        <v>48</v>
      </c>
      <c r="G21" s="17" t="s">
        <v>32</v>
      </c>
      <c r="H21" s="17">
        <v>6</v>
      </c>
      <c r="I21" s="17" t="s">
        <v>41</v>
      </c>
      <c r="J21" s="17" t="str">
        <f t="array" ref="J21">IF(I21="Remove", "N/A",
 IF(MAX(VALUE(TRIM(_xlfn.TEXTSPLIT(D21, ", "))))&lt;30, H21, H21*2))</f>
        <v>N/A</v>
      </c>
      <c r="K21" s="17" cm="1">
        <f t="array" ref="K21">IF(MAX(VALUE(TRIM(_xlfn.TEXTSPLIT(D21, ", "))))&lt;30, H21, H21*2)</f>
        <v>12</v>
      </c>
      <c r="L21" s="17" t="str">
        <f t="shared" si="0"/>
        <v>Yes</v>
      </c>
      <c r="M21" s="18">
        <f t="array" ref="M21">SQRT(SUMPRODUCT(--_xlfn.TEXTSPLIT(D21, ", "), --_xlfn.TEXTSPLIT(D21, ", ")))</f>
        <v>69</v>
      </c>
      <c r="N21" s="18" t="e">
        <f t="shared" si="1"/>
        <v>#VALUE!</v>
      </c>
      <c r="O21" s="10" t="e">
        <f t="shared" si="2"/>
        <v>#VALUE!</v>
      </c>
      <c r="P21">
        <v>-395.60050725936998</v>
      </c>
      <c r="Q21">
        <v>-195.45297519669401</v>
      </c>
      <c r="R21">
        <v>2</v>
      </c>
    </row>
    <row r="22" spans="1:18" ht="21.45" customHeight="1" x14ac:dyDescent="0.3">
      <c r="A22" s="17">
        <v>20</v>
      </c>
      <c r="B22" s="17" t="s">
        <v>65</v>
      </c>
      <c r="C22" s="19" t="s">
        <v>66</v>
      </c>
      <c r="D22" s="17">
        <v>68</v>
      </c>
      <c r="E22" s="17" t="s">
        <v>30</v>
      </c>
      <c r="F22" s="17" t="s">
        <v>44</v>
      </c>
      <c r="G22" s="17" t="s">
        <v>32</v>
      </c>
      <c r="H22" s="17">
        <v>5</v>
      </c>
      <c r="I22" s="17" t="s">
        <v>41</v>
      </c>
      <c r="J22" s="17" t="str">
        <f t="array" ref="J22">IF(I22="Remove", "N/A",
 IF(MAX(VALUE(TRIM(_xlfn.TEXTSPLIT(D22, ", "))))&lt;30, H22, H22*2))</f>
        <v>N/A</v>
      </c>
      <c r="K22" s="17" cm="1">
        <f t="array" ref="K22">IF(MAX(VALUE(TRIM(_xlfn.TEXTSPLIT(D22, ", "))))&lt;30, H22, H22*2)</f>
        <v>10</v>
      </c>
      <c r="L22" s="17" t="str">
        <f t="shared" si="0"/>
        <v>Yes</v>
      </c>
      <c r="M22" s="18">
        <f t="array" ref="M22">SQRT(SUMPRODUCT(--_xlfn.TEXTSPLIT(D22, ", "), --_xlfn.TEXTSPLIT(D22, ", ")))</f>
        <v>68</v>
      </c>
      <c r="N22" s="18" t="e">
        <f t="shared" si="1"/>
        <v>#VALUE!</v>
      </c>
      <c r="O22" s="10" t="e">
        <f t="shared" si="2"/>
        <v>#VALUE!</v>
      </c>
      <c r="P22">
        <v>-293.00065374374498</v>
      </c>
      <c r="Q22">
        <v>-197.373019142006</v>
      </c>
      <c r="R22">
        <v>2</v>
      </c>
    </row>
    <row r="23" spans="1:18" ht="21.45" customHeight="1" x14ac:dyDescent="0.3">
      <c r="A23" s="17">
        <v>21</v>
      </c>
      <c r="B23" s="17" t="s">
        <v>65</v>
      </c>
      <c r="C23" s="19" t="s">
        <v>66</v>
      </c>
      <c r="D23" s="17">
        <v>36</v>
      </c>
      <c r="E23" s="17" t="s">
        <v>30</v>
      </c>
      <c r="F23" s="17" t="s">
        <v>44</v>
      </c>
      <c r="G23" s="17" t="s">
        <v>71</v>
      </c>
      <c r="H23" s="17">
        <v>3</v>
      </c>
      <c r="I23" s="17" t="s">
        <v>35</v>
      </c>
      <c r="J23" s="17">
        <f t="array" ref="J23">IF(I23="Remove", "N/A",
 IF(MAX(VALUE(TRIM(_xlfn.TEXTSPLIT(D23, ", "))))&lt;30, H23, H23*2))</f>
        <v>6</v>
      </c>
      <c r="K23" s="17" cm="1">
        <f t="array" ref="K23">IF(MAX(VALUE(TRIM(_xlfn.TEXTSPLIT(D23, ", "))))&lt;30, H23, H23*2)</f>
        <v>6</v>
      </c>
      <c r="L23" s="17" t="str">
        <f t="shared" si="0"/>
        <v>Yes</v>
      </c>
      <c r="M23" s="18">
        <f t="array" ref="M23">SQRT(SUMPRODUCT(--_xlfn.TEXTSPLIT(D23, ", "), --_xlfn.TEXTSPLIT(D23, ", ")))</f>
        <v>36</v>
      </c>
      <c r="N23" s="18">
        <f t="shared" si="1"/>
        <v>12.36</v>
      </c>
      <c r="O23" s="10">
        <f t="shared" si="2"/>
        <v>24.72</v>
      </c>
      <c r="P23">
        <v>-290.84049749374498</v>
      </c>
      <c r="Q23">
        <v>-221.133028907631</v>
      </c>
      <c r="R23">
        <v>2</v>
      </c>
    </row>
    <row r="24" spans="1:18" ht="21.45" customHeight="1" x14ac:dyDescent="0.3">
      <c r="A24" s="17">
        <v>22</v>
      </c>
      <c r="B24" s="17" t="s">
        <v>65</v>
      </c>
      <c r="C24" s="19" t="s">
        <v>66</v>
      </c>
      <c r="D24" s="17">
        <v>75</v>
      </c>
      <c r="E24" s="17" t="s">
        <v>30</v>
      </c>
      <c r="F24" s="17" t="s">
        <v>72</v>
      </c>
      <c r="G24" s="17" t="s">
        <v>73</v>
      </c>
      <c r="H24" s="17">
        <v>6</v>
      </c>
      <c r="I24" s="17" t="s">
        <v>33</v>
      </c>
      <c r="J24" s="17">
        <f t="array" ref="J24">IF(I24="Remove", "N/A",
 IF(MAX(VALUE(TRIM(_xlfn.TEXTSPLIT(D24, ", "))))&lt;30, H24, H24*2))</f>
        <v>12</v>
      </c>
      <c r="K24" s="17" cm="1">
        <f t="array" ref="K24">IF(MAX(VALUE(TRIM(_xlfn.TEXTSPLIT(D24, ", "))))&lt;30, H24, H24*2)</f>
        <v>12</v>
      </c>
      <c r="L24" s="17" t="str">
        <f t="shared" si="0"/>
        <v>No</v>
      </c>
      <c r="M24" s="18">
        <f t="array" ref="M24">SQRT(SUMPRODUCT(--_xlfn.TEXTSPLIT(D24, ", "), --_xlfn.TEXTSPLIT(D24, ", ")))</f>
        <v>75</v>
      </c>
      <c r="N24" s="18">
        <f t="shared" si="1"/>
        <v>24.75</v>
      </c>
      <c r="O24" s="10">
        <f t="shared" si="2"/>
        <v>49.5</v>
      </c>
      <c r="P24">
        <v>-293.66000000000003</v>
      </c>
      <c r="Q24">
        <v>-272.41000000000003</v>
      </c>
      <c r="R24">
        <v>2</v>
      </c>
    </row>
    <row r="25" spans="1:18" ht="21.45" customHeight="1" x14ac:dyDescent="0.3">
      <c r="A25" s="17">
        <v>23</v>
      </c>
      <c r="B25" s="17" t="s">
        <v>74</v>
      </c>
      <c r="C25" s="19" t="s">
        <v>75</v>
      </c>
      <c r="D25" s="17">
        <v>50</v>
      </c>
      <c r="E25" s="17" t="s">
        <v>63</v>
      </c>
      <c r="F25" s="17" t="s">
        <v>76</v>
      </c>
      <c r="G25" s="17" t="s">
        <v>73</v>
      </c>
      <c r="H25" s="17">
        <v>3</v>
      </c>
      <c r="I25" s="17" t="s">
        <v>35</v>
      </c>
      <c r="J25" s="17">
        <f t="array" ref="J25">IF(I25="Remove", "N/A",
 IF(MAX(VALUE(TRIM(_xlfn.TEXTSPLIT(D25, ", "))))&lt;30, H25, H25*2))</f>
        <v>6</v>
      </c>
      <c r="K25" s="17" cm="1">
        <f t="array" ref="K25">IF(MAX(VALUE(TRIM(_xlfn.TEXTSPLIT(D25, ", "))))&lt;30, H25, H25*2)</f>
        <v>6</v>
      </c>
      <c r="L25" s="17" t="str">
        <f t="shared" si="0"/>
        <v>Yes</v>
      </c>
      <c r="M25" s="18">
        <f t="array" ref="M25">SQRT(SUMPRODUCT(--_xlfn.TEXTSPLIT(D25, ", "), --_xlfn.TEXTSPLIT(D25, ", ")))</f>
        <v>50</v>
      </c>
      <c r="N25" s="18">
        <f t="shared" si="1"/>
        <v>12.5</v>
      </c>
      <c r="O25" s="10">
        <f t="shared" si="2"/>
        <v>25</v>
      </c>
      <c r="P25">
        <v>-490.76066350936998</v>
      </c>
      <c r="Q25">
        <v>84.746975975181201</v>
      </c>
      <c r="R25">
        <v>2</v>
      </c>
    </row>
    <row r="26" spans="1:18" ht="21.45" customHeight="1" x14ac:dyDescent="0.3">
      <c r="A26" s="17">
        <v>24</v>
      </c>
      <c r="B26" s="17" t="s">
        <v>74</v>
      </c>
      <c r="C26" s="19" t="s">
        <v>75</v>
      </c>
      <c r="D26" s="17">
        <v>55</v>
      </c>
      <c r="E26" s="17" t="s">
        <v>63</v>
      </c>
      <c r="F26" s="17" t="s">
        <v>77</v>
      </c>
      <c r="G26" s="17" t="s">
        <v>71</v>
      </c>
      <c r="H26" s="17">
        <v>3</v>
      </c>
      <c r="I26" s="17" t="s">
        <v>35</v>
      </c>
      <c r="J26" s="17">
        <f t="array" ref="J26">IF(I26="Remove", "N/A",
 IF(MAX(VALUE(TRIM(_xlfn.TEXTSPLIT(D26, ", "))))&lt;30, H26, H26*2))</f>
        <v>6</v>
      </c>
      <c r="K26" s="17" cm="1">
        <f t="array" ref="K26">IF(MAX(VALUE(TRIM(_xlfn.TEXTSPLIT(D26, ", "))))&lt;30, H26, H26*2)</f>
        <v>6</v>
      </c>
      <c r="L26" s="17" t="str">
        <f t="shared" ref="L26:L67" si="3">IF(OR(I26="injury", I26="removal", I26="remove"), "Yes", "No")</f>
        <v>Yes</v>
      </c>
      <c r="M26" s="18">
        <f t="array" ref="M26">SQRT(SUMPRODUCT(--_xlfn.TEXTSPLIT(D26, ", "), --_xlfn.TEXTSPLIT(D26, ", ")))</f>
        <v>55</v>
      </c>
      <c r="N26" s="18">
        <f t="shared" si="1"/>
        <v>12.55</v>
      </c>
      <c r="O26" s="10">
        <f t="shared" si="2"/>
        <v>25.1</v>
      </c>
      <c r="P26">
        <v>-465.44059514999498</v>
      </c>
      <c r="Q26">
        <v>79.347073631431201</v>
      </c>
      <c r="R26">
        <v>2</v>
      </c>
    </row>
    <row r="27" spans="1:18" x14ac:dyDescent="0.3">
      <c r="A27" s="17">
        <v>25</v>
      </c>
      <c r="B27" s="17" t="s">
        <v>78</v>
      </c>
      <c r="C27" s="19" t="s">
        <v>79</v>
      </c>
      <c r="D27" s="17">
        <v>38</v>
      </c>
      <c r="E27" s="17" t="s">
        <v>39</v>
      </c>
      <c r="F27" s="17" t="s">
        <v>80</v>
      </c>
      <c r="G27" s="17" t="s">
        <v>73</v>
      </c>
      <c r="H27" s="17">
        <v>3</v>
      </c>
      <c r="I27" s="17" t="s">
        <v>33</v>
      </c>
      <c r="J27" s="17">
        <f t="array" ref="J27">IF(I27="Remove", "N/A",
 IF(MAX(VALUE(TRIM(_xlfn.TEXTSPLIT(D27, ", "))))&lt;30, H27, H27*2))</f>
        <v>6</v>
      </c>
      <c r="K27" s="17" cm="1">
        <f t="array" ref="K27">IF(MAX(VALUE(TRIM(_xlfn.TEXTSPLIT(D27, ", "))))&lt;30, H27, H27*2)</f>
        <v>6</v>
      </c>
      <c r="L27" s="17" t="str">
        <f t="shared" si="0"/>
        <v>No</v>
      </c>
      <c r="M27" s="18">
        <f t="array" ref="M27">SQRT(SUMPRODUCT(--_xlfn.TEXTSPLIT(D27, ", "), --_xlfn.TEXTSPLIT(D27, ", ")))</f>
        <v>38</v>
      </c>
      <c r="N27" s="18">
        <f t="shared" si="1"/>
        <v>12.38</v>
      </c>
      <c r="O27" s="10">
        <f t="shared" si="2"/>
        <v>24.76</v>
      </c>
      <c r="P27">
        <v>-421.88053655624498</v>
      </c>
      <c r="Q27">
        <v>80.307034568931201</v>
      </c>
      <c r="R27">
        <v>2</v>
      </c>
    </row>
    <row r="28" spans="1:18" ht="20.55" customHeight="1" x14ac:dyDescent="0.3">
      <c r="A28" s="17">
        <v>26</v>
      </c>
      <c r="B28" s="17" t="s">
        <v>78</v>
      </c>
      <c r="C28" s="19" t="s">
        <v>79</v>
      </c>
      <c r="D28" s="17">
        <v>52</v>
      </c>
      <c r="E28" s="17" t="s">
        <v>39</v>
      </c>
      <c r="F28" s="17" t="s">
        <v>81</v>
      </c>
      <c r="G28" s="17" t="s">
        <v>73</v>
      </c>
      <c r="H28" s="17">
        <v>4</v>
      </c>
      <c r="I28" s="17" t="s">
        <v>35</v>
      </c>
      <c r="J28" s="17">
        <f t="array" ref="J28">IF(I28="Remove", "N/A",
 IF(MAX(VALUE(TRIM(_xlfn.TEXTSPLIT(D28, ", "))))&lt;30, H28, H28*2))</f>
        <v>8</v>
      </c>
      <c r="K28" s="17" cm="1">
        <f t="array" ref="K28">IF(MAX(VALUE(TRIM(_xlfn.TEXTSPLIT(D28, ", "))))&lt;30, H28, H28*2)</f>
        <v>8</v>
      </c>
      <c r="L28" s="17" t="str">
        <f t="shared" si="0"/>
        <v>Yes</v>
      </c>
      <c r="M28" s="18">
        <f t="array" ref="M28">SQRT(SUMPRODUCT(--_xlfn.TEXTSPLIT(D28, ", "), --_xlfn.TEXTSPLIT(D28, ", ")))</f>
        <v>52</v>
      </c>
      <c r="N28" s="18">
        <f t="shared" si="1"/>
        <v>16.52</v>
      </c>
      <c r="O28" s="10">
        <f t="shared" si="2"/>
        <v>33.04</v>
      </c>
      <c r="P28">
        <v>-399.08048772811998</v>
      </c>
      <c r="Q28">
        <v>80.427029686118701</v>
      </c>
      <c r="R28">
        <v>2</v>
      </c>
    </row>
    <row r="29" spans="1:18" ht="20.55" customHeight="1" x14ac:dyDescent="0.3">
      <c r="A29" s="17">
        <v>27</v>
      </c>
      <c r="B29" s="17" t="s">
        <v>78</v>
      </c>
      <c r="C29" s="19" t="s">
        <v>79</v>
      </c>
      <c r="D29" s="17">
        <v>60</v>
      </c>
      <c r="E29" s="17" t="s">
        <v>30</v>
      </c>
      <c r="F29" s="17" t="s">
        <v>82</v>
      </c>
      <c r="G29" s="17" t="s">
        <v>73</v>
      </c>
      <c r="H29" s="17">
        <v>5</v>
      </c>
      <c r="I29" s="17" t="s">
        <v>35</v>
      </c>
      <c r="J29" s="17">
        <f t="array" ref="J29">IF(I29="Remove", "N/A",
 IF(MAX(VALUE(TRIM(_xlfn.TEXTSPLIT(D29, ", "))))&lt;30, H29, H29*2))</f>
        <v>10</v>
      </c>
      <c r="K29" s="17" cm="1">
        <f t="array" ref="K29">IF(MAX(VALUE(TRIM(_xlfn.TEXTSPLIT(D29, ", "))))&lt;30, H29, H29*2)</f>
        <v>10</v>
      </c>
      <c r="L29" s="17" t="str">
        <f t="shared" si="3"/>
        <v>Yes</v>
      </c>
      <c r="M29" s="18">
        <f t="array" ref="M29">SQRT(SUMPRODUCT(--_xlfn.TEXTSPLIT(D29, ", "), --_xlfn.TEXTSPLIT(D29, ", ")))</f>
        <v>60</v>
      </c>
      <c r="N29" s="18">
        <f t="shared" si="1"/>
        <v>20.6</v>
      </c>
      <c r="O29" s="10">
        <f t="shared" si="2"/>
        <v>41.2</v>
      </c>
      <c r="P29">
        <v>-293.96061468124498</v>
      </c>
      <c r="Q29">
        <v>77.187039451743701</v>
      </c>
      <c r="R29">
        <v>2</v>
      </c>
    </row>
    <row r="30" spans="1:18" ht="21.45" customHeight="1" x14ac:dyDescent="0.3">
      <c r="A30" s="17">
        <v>28</v>
      </c>
      <c r="B30" s="17" t="s">
        <v>83</v>
      </c>
      <c r="C30" s="19" t="s">
        <v>84</v>
      </c>
      <c r="D30" s="17" t="s">
        <v>85</v>
      </c>
      <c r="E30" s="17" t="s">
        <v>30</v>
      </c>
      <c r="F30" s="17" t="s">
        <v>44</v>
      </c>
      <c r="G30" s="17" t="s">
        <v>73</v>
      </c>
      <c r="H30" s="17">
        <v>5</v>
      </c>
      <c r="I30" s="17" t="s">
        <v>35</v>
      </c>
      <c r="J30" s="17">
        <f t="array" ref="J30">IF(I30="Remove", "N/A",
 IF(MAX(VALUE(TRIM(_xlfn.TEXTSPLIT(D30, ", "))))&lt;30, H30, H30*2))</f>
        <v>10</v>
      </c>
      <c r="K30" s="17" cm="1">
        <f t="array" ref="K30">IF(MAX(VALUE(TRIM(_xlfn.TEXTSPLIT(D30, ", "))))&lt;30, H30, H30*2)</f>
        <v>10</v>
      </c>
      <c r="L30" s="17" t="str">
        <f t="shared" si="3"/>
        <v>Yes</v>
      </c>
      <c r="M30" s="18">
        <f t="array" ref="M30">SQRT(SUMPRODUCT(--_xlfn.TEXTSPLIT(D30, ", "), --_xlfn.TEXTSPLIT(D30, ", ")))</f>
        <v>58.898217290508889</v>
      </c>
      <c r="N30" s="18">
        <f t="shared" si="1"/>
        <v>20.588982172905087</v>
      </c>
      <c r="O30" s="10">
        <f t="shared" si="2"/>
        <v>41.177964345810167</v>
      </c>
      <c r="P30">
        <v>-276.38</v>
      </c>
      <c r="Q30">
        <v>76.67</v>
      </c>
      <c r="R30">
        <v>2</v>
      </c>
    </row>
    <row r="31" spans="1:18" ht="21.45" customHeight="1" x14ac:dyDescent="0.3">
      <c r="A31" s="17">
        <v>29</v>
      </c>
      <c r="B31" s="17" t="s">
        <v>65</v>
      </c>
      <c r="C31" s="19" t="s">
        <v>66</v>
      </c>
      <c r="D31" s="17">
        <v>68</v>
      </c>
      <c r="E31" s="17" t="s">
        <v>30</v>
      </c>
      <c r="F31" s="17" t="s">
        <v>44</v>
      </c>
      <c r="G31" s="17" t="s">
        <v>73</v>
      </c>
      <c r="H31" s="17">
        <v>5</v>
      </c>
      <c r="I31" s="17" t="s">
        <v>35</v>
      </c>
      <c r="J31" s="17">
        <f t="array" ref="J31">IF(I31="Remove", "N/A",
 IF(MAX(VALUE(TRIM(_xlfn.TEXTSPLIT(D31, ", "))))&lt;30, H31, H31*2))</f>
        <v>10</v>
      </c>
      <c r="K31" s="17" cm="1">
        <f t="array" ref="K31">IF(MAX(VALUE(TRIM(_xlfn.TEXTSPLIT(D31, ", "))))&lt;30, H31, H31*2)</f>
        <v>10</v>
      </c>
      <c r="L31" s="17" t="str">
        <f t="shared" si="3"/>
        <v>Yes</v>
      </c>
      <c r="M31" s="18">
        <f t="array" ref="M31">SQRT(SUMPRODUCT(--_xlfn.TEXTSPLIT(D31, ", "), --_xlfn.TEXTSPLIT(D31, ", ")))</f>
        <v>68</v>
      </c>
      <c r="N31" s="18">
        <f t="shared" si="1"/>
        <v>20.68</v>
      </c>
      <c r="O31" s="10">
        <f t="shared" si="2"/>
        <v>41.36</v>
      </c>
      <c r="P31">
        <v>-219.560712337495</v>
      </c>
      <c r="Q31">
        <v>77.067044334556201</v>
      </c>
      <c r="R31">
        <v>2</v>
      </c>
    </row>
    <row r="32" spans="1:18" ht="21.45" customHeight="1" x14ac:dyDescent="0.3">
      <c r="A32" s="17">
        <v>30</v>
      </c>
      <c r="B32" s="17" t="s">
        <v>65</v>
      </c>
      <c r="C32" s="19" t="s">
        <v>66</v>
      </c>
      <c r="D32" s="17">
        <v>35</v>
      </c>
      <c r="E32" s="17" t="s">
        <v>30</v>
      </c>
      <c r="F32" s="17" t="s">
        <v>80</v>
      </c>
      <c r="G32" s="17" t="s">
        <v>71</v>
      </c>
      <c r="H32" s="17">
        <v>3</v>
      </c>
      <c r="I32" s="17" t="s">
        <v>33</v>
      </c>
      <c r="J32" s="17">
        <f t="array" ref="J32">IF(I32="Remove", "N/A",
 IF(MAX(VALUE(TRIM(_xlfn.TEXTSPLIT(D32, ", "))))&lt;30, H32, H32*2))</f>
        <v>6</v>
      </c>
      <c r="K32" s="17" cm="1">
        <f t="array" ref="K32">IF(MAX(VALUE(TRIM(_xlfn.TEXTSPLIT(D32, ", "))))&lt;30, H32, H32*2)</f>
        <v>6</v>
      </c>
      <c r="L32" s="17" t="str">
        <f t="shared" si="3"/>
        <v>No</v>
      </c>
      <c r="M32" s="18">
        <f t="array" ref="M32">SQRT(SUMPRODUCT(--_xlfn.TEXTSPLIT(D32, ", "), --_xlfn.TEXTSPLIT(D32, ", ")))</f>
        <v>35</v>
      </c>
      <c r="N32" s="18">
        <f t="shared" si="1"/>
        <v>12.35</v>
      </c>
      <c r="O32" s="10">
        <f t="shared" si="2"/>
        <v>24.7</v>
      </c>
      <c r="P32">
        <v>-14.54</v>
      </c>
      <c r="Q32">
        <v>83.75</v>
      </c>
      <c r="R32">
        <v>2</v>
      </c>
    </row>
    <row r="33" spans="1:18" ht="21.45" customHeight="1" x14ac:dyDescent="0.3">
      <c r="A33" s="17">
        <v>31</v>
      </c>
      <c r="B33" s="17" t="s">
        <v>83</v>
      </c>
      <c r="C33" s="19" t="s">
        <v>84</v>
      </c>
      <c r="D33" s="17">
        <v>60</v>
      </c>
      <c r="E33" s="17" t="s">
        <v>30</v>
      </c>
      <c r="F33" s="17" t="s">
        <v>72</v>
      </c>
      <c r="G33" s="17" t="s">
        <v>71</v>
      </c>
      <c r="H33" s="17">
        <v>5</v>
      </c>
      <c r="I33" s="17" t="s">
        <v>35</v>
      </c>
      <c r="J33" s="17">
        <f t="array" ref="J33">IF(I33="Remove", "N/A",
 IF(MAX(VALUE(TRIM(_xlfn.TEXTSPLIT(D33, ", "))))&lt;30, H33, H33*2))</f>
        <v>10</v>
      </c>
      <c r="K33" s="17" cm="1">
        <f t="array" ref="K33">IF(MAX(VALUE(TRIM(_xlfn.TEXTSPLIT(D33, ", "))))&lt;30, H33, H33*2)</f>
        <v>10</v>
      </c>
      <c r="L33" s="17" t="str">
        <f t="shared" si="3"/>
        <v>Yes</v>
      </c>
      <c r="M33" s="18">
        <f t="array" ref="M33">SQRT(SUMPRODUCT(--_xlfn.TEXTSPLIT(D33, ", "), --_xlfn.TEXTSPLIT(D33, ", ")))</f>
        <v>60</v>
      </c>
      <c r="N33" s="18">
        <f t="shared" si="1"/>
        <v>20.6</v>
      </c>
      <c r="O33" s="10">
        <f t="shared" si="2"/>
        <v>41.2</v>
      </c>
      <c r="P33">
        <v>101.02</v>
      </c>
      <c r="Q33">
        <v>76.790000000000006</v>
      </c>
      <c r="R33">
        <v>2</v>
      </c>
    </row>
    <row r="34" spans="1:18" x14ac:dyDescent="0.3">
      <c r="A34" s="17">
        <v>32</v>
      </c>
      <c r="B34" s="17" t="s">
        <v>78</v>
      </c>
      <c r="C34" s="19" t="s">
        <v>79</v>
      </c>
      <c r="D34" s="17">
        <v>71</v>
      </c>
      <c r="E34" s="17" t="s">
        <v>86</v>
      </c>
      <c r="F34" s="17" t="s">
        <v>87</v>
      </c>
      <c r="G34" s="17" t="s">
        <v>71</v>
      </c>
      <c r="H34" s="17">
        <v>3</v>
      </c>
      <c r="I34" s="17" t="s">
        <v>33</v>
      </c>
      <c r="J34" s="17">
        <f t="array" ref="J34">IF(I34="Remove", "N/A",
 IF(MAX(VALUE(TRIM(_xlfn.TEXTSPLIT(D34, ", "))))&lt;30, H34, H34*2))</f>
        <v>6</v>
      </c>
      <c r="K34" s="17" cm="1">
        <f t="array" ref="K34">IF(MAX(VALUE(TRIM(_xlfn.TEXTSPLIT(D34, ", "))))&lt;30, H34, H34*2)</f>
        <v>6</v>
      </c>
      <c r="L34" s="17" t="str">
        <f t="shared" si="3"/>
        <v>No</v>
      </c>
      <c r="M34" s="18">
        <f t="array" ref="M34">SQRT(SUMPRODUCT(--_xlfn.TEXTSPLIT(D34, ", "), --_xlfn.TEXTSPLIT(D34, ", ")))</f>
        <v>71</v>
      </c>
      <c r="N34" s="18">
        <f t="shared" si="1"/>
        <v>12.71</v>
      </c>
      <c r="O34" s="10">
        <f t="shared" si="2"/>
        <v>25.42</v>
      </c>
      <c r="P34">
        <v>168.34</v>
      </c>
      <c r="Q34">
        <v>82.91</v>
      </c>
      <c r="R34">
        <v>2</v>
      </c>
    </row>
    <row r="35" spans="1:18" ht="21.45" customHeight="1" x14ac:dyDescent="0.3">
      <c r="A35" s="17">
        <v>33</v>
      </c>
      <c r="B35" s="17" t="s">
        <v>59</v>
      </c>
      <c r="C35" s="19" t="s">
        <v>60</v>
      </c>
      <c r="D35" s="17">
        <v>68</v>
      </c>
      <c r="E35" s="17" t="s">
        <v>63</v>
      </c>
      <c r="F35" s="17" t="s">
        <v>88</v>
      </c>
      <c r="G35" s="17" t="s">
        <v>71</v>
      </c>
      <c r="H35" s="17">
        <v>4</v>
      </c>
      <c r="I35" s="17" t="s">
        <v>33</v>
      </c>
      <c r="J35" s="17">
        <f t="array" ref="J35">IF(I35="Remove", "N/A",
 IF(MAX(VALUE(TRIM(_xlfn.TEXTSPLIT(D35, ", "))))&lt;30, H35, H35*2))</f>
        <v>8</v>
      </c>
      <c r="K35" s="17" cm="1">
        <f t="array" ref="K35">IF(MAX(VALUE(TRIM(_xlfn.TEXTSPLIT(D35, ", "))))&lt;30, H35, H35*2)</f>
        <v>8</v>
      </c>
      <c r="L35" s="17" t="str">
        <f t="shared" si="3"/>
        <v>No</v>
      </c>
      <c r="M35" s="18">
        <f t="array" ref="M35">SQRT(SUMPRODUCT(--_xlfn.TEXTSPLIT(D35, ", "), --_xlfn.TEXTSPLIT(D35, ", ")))</f>
        <v>68</v>
      </c>
      <c r="N35" s="18">
        <f t="shared" si="1"/>
        <v>16.68</v>
      </c>
      <c r="O35" s="10">
        <f t="shared" si="2"/>
        <v>33.36</v>
      </c>
      <c r="P35">
        <v>192.15938043594301</v>
      </c>
      <c r="Q35">
        <v>82.587063865806201</v>
      </c>
      <c r="R35">
        <v>2</v>
      </c>
    </row>
    <row r="36" spans="1:18" ht="21.45" customHeight="1" x14ac:dyDescent="0.3">
      <c r="A36" s="17">
        <v>41</v>
      </c>
      <c r="B36" s="17" t="s">
        <v>89</v>
      </c>
      <c r="C36" s="19" t="s">
        <v>90</v>
      </c>
      <c r="D36" s="17" t="s">
        <v>91</v>
      </c>
      <c r="E36" s="17" t="s">
        <v>86</v>
      </c>
      <c r="F36" s="17" t="s">
        <v>86</v>
      </c>
      <c r="G36" s="17" t="s">
        <v>73</v>
      </c>
      <c r="H36" s="17">
        <v>5</v>
      </c>
      <c r="I36" s="17" t="s">
        <v>33</v>
      </c>
      <c r="J36" s="17">
        <f t="array" ref="J36">IF(I36="Remove", "N/A",
 IF(MAX(VALUE(TRIM(_xlfn.TEXTSPLIT(D36, ", "))))&lt;30, H36, H36*2))</f>
        <v>10</v>
      </c>
      <c r="K36" s="17" cm="1">
        <f t="array" ref="K36">IF(MAX(VALUE(TRIM(_xlfn.TEXTSPLIT(D36, ", "))))&lt;30, H36, H36*2)</f>
        <v>10</v>
      </c>
      <c r="L36" s="17" t="str">
        <f t="shared" si="3"/>
        <v>No</v>
      </c>
      <c r="M36" s="18">
        <f t="array" ref="M36">SQRT(SUMPRODUCT(--_xlfn.TEXTSPLIT(D36, ", "), --_xlfn.TEXTSPLIT(D36, ", ")))</f>
        <v>65.55913361233506</v>
      </c>
      <c r="N36" s="18">
        <f t="shared" si="1"/>
        <v>20.655591336123351</v>
      </c>
      <c r="O36" s="10">
        <f t="shared" si="2"/>
        <v>41.311182672246701</v>
      </c>
      <c r="P36">
        <v>199.36</v>
      </c>
      <c r="Q36">
        <v>64.84</v>
      </c>
      <c r="R36">
        <v>2</v>
      </c>
    </row>
    <row r="37" spans="1:18" ht="21.45" customHeight="1" x14ac:dyDescent="0.3">
      <c r="A37" s="17">
        <v>42</v>
      </c>
      <c r="B37" s="17" t="s">
        <v>89</v>
      </c>
      <c r="C37" s="19" t="s">
        <v>90</v>
      </c>
      <c r="D37" s="17">
        <v>46</v>
      </c>
      <c r="E37" s="17" t="s">
        <v>63</v>
      </c>
      <c r="F37" s="17" t="s">
        <v>92</v>
      </c>
      <c r="G37" s="17" t="s">
        <v>73</v>
      </c>
      <c r="H37" s="17">
        <v>4</v>
      </c>
      <c r="I37" s="17" t="s">
        <v>35</v>
      </c>
      <c r="J37" s="17">
        <f t="array" ref="J37">IF(I37="Remove", "N/A",
 IF(MAX(VALUE(TRIM(_xlfn.TEXTSPLIT(D37, ", "))))&lt;30, H37, H37*2))</f>
        <v>8</v>
      </c>
      <c r="K37" s="17" cm="1">
        <f t="array" ref="K37">IF(MAX(VALUE(TRIM(_xlfn.TEXTSPLIT(D37, ", "))))&lt;30, H37, H37*2)</f>
        <v>8</v>
      </c>
      <c r="L37" s="17" t="str">
        <f t="shared" si="3"/>
        <v>Yes</v>
      </c>
      <c r="M37" s="18">
        <f t="array" ref="M37">SQRT(SUMPRODUCT(--_xlfn.TEXTSPLIT(D37, ", "), --_xlfn.TEXTSPLIT(D37, ", ")))</f>
        <v>46</v>
      </c>
      <c r="N37" s="18">
        <f t="shared" si="1"/>
        <v>16.46</v>
      </c>
      <c r="O37" s="10">
        <f t="shared" si="2"/>
        <v>32.92</v>
      </c>
      <c r="P37">
        <v>209.7</v>
      </c>
      <c r="Q37">
        <v>58.82</v>
      </c>
      <c r="R37">
        <v>2</v>
      </c>
    </row>
    <row r="38" spans="1:18" ht="20.399999999999999" x14ac:dyDescent="0.3">
      <c r="A38" s="17">
        <v>43</v>
      </c>
      <c r="B38" s="17" t="s">
        <v>89</v>
      </c>
      <c r="C38" s="19" t="s">
        <v>90</v>
      </c>
      <c r="D38" s="17" t="s">
        <v>93</v>
      </c>
      <c r="E38" s="17" t="s">
        <v>63</v>
      </c>
      <c r="F38" s="17"/>
      <c r="G38" s="17" t="s">
        <v>71</v>
      </c>
      <c r="H38" s="17">
        <v>3</v>
      </c>
      <c r="I38" s="17" t="s">
        <v>35</v>
      </c>
      <c r="J38" s="17">
        <f t="array" ref="J38">IF(I38="Remove", "N/A",
 IF(MAX(VALUE(TRIM(_xlfn.TEXTSPLIT(D38, ", "))))&lt;30, H38, H38*2))</f>
        <v>6</v>
      </c>
      <c r="K38" s="17" cm="1">
        <f t="array" ref="K38">IF(MAX(VALUE(TRIM(_xlfn.TEXTSPLIT(D38, ", "))))&lt;30, H38, H38*2)</f>
        <v>6</v>
      </c>
      <c r="L38" s="17" t="str">
        <f t="shared" si="3"/>
        <v>Yes</v>
      </c>
      <c r="M38" s="18">
        <f t="shared" ref="M38:M67" si="4">SQRT(SUMPRODUCT(--_xlfn.TEXTSPLIT(D38, ", "), --_xlfn.TEXTSPLIT(D38, ", ")))</f>
        <v>66.362640092148226</v>
      </c>
      <c r="N38" s="18">
        <f t="shared" si="1"/>
        <v>12.663626400921482</v>
      </c>
      <c r="O38" s="10">
        <f t="shared" si="2"/>
        <v>25.327252801842963</v>
      </c>
      <c r="P38">
        <v>264.3</v>
      </c>
      <c r="Q38">
        <v>91.4</v>
      </c>
      <c r="R38">
        <v>2</v>
      </c>
    </row>
    <row r="39" spans="1:18" x14ac:dyDescent="0.3">
      <c r="A39" s="17">
        <v>44</v>
      </c>
      <c r="B39" s="17" t="s">
        <v>78</v>
      </c>
      <c r="C39" s="17" t="s">
        <v>79</v>
      </c>
      <c r="D39" s="17">
        <v>56</v>
      </c>
      <c r="E39" s="17" t="s">
        <v>39</v>
      </c>
      <c r="F39" s="17"/>
      <c r="G39" s="17" t="s">
        <v>73</v>
      </c>
      <c r="H39" s="17">
        <v>4</v>
      </c>
      <c r="I39" s="17" t="s">
        <v>33</v>
      </c>
      <c r="J39" s="17">
        <f t="array" ref="J39">IF(I39="Remove", "N/A",
 IF(MAX(VALUE(TRIM(_xlfn.TEXTSPLIT(D39, ", "))))&lt;30, H39, H39*2))</f>
        <v>8</v>
      </c>
      <c r="K39" s="17" cm="1">
        <f t="array" ref="K39">IF(MAX(VALUE(TRIM(_xlfn.TEXTSPLIT(D39, ", "))))&lt;30, H39, H39*2)</f>
        <v>8</v>
      </c>
      <c r="L39" s="17" t="str">
        <f t="shared" si="3"/>
        <v>No</v>
      </c>
      <c r="M39" s="18">
        <f t="shared" si="4"/>
        <v>56</v>
      </c>
      <c r="N39" s="18">
        <f t="shared" si="1"/>
        <v>16.559999999999999</v>
      </c>
      <c r="O39" s="10">
        <f t="shared" si="2"/>
        <v>33.119999999999997</v>
      </c>
      <c r="P39">
        <v>505.58</v>
      </c>
      <c r="Q39">
        <v>-426.07</v>
      </c>
      <c r="R39">
        <v>2</v>
      </c>
    </row>
    <row r="40" spans="1:18" x14ac:dyDescent="0.3">
      <c r="A40" s="17">
        <v>45</v>
      </c>
      <c r="B40" s="17" t="s">
        <v>78</v>
      </c>
      <c r="C40" s="17" t="s">
        <v>79</v>
      </c>
      <c r="D40" s="17">
        <v>44</v>
      </c>
      <c r="E40" s="17" t="s">
        <v>94</v>
      </c>
      <c r="F40" s="17"/>
      <c r="G40" s="17" t="s">
        <v>73</v>
      </c>
      <c r="H40" s="17">
        <v>4</v>
      </c>
      <c r="I40" s="17" t="s">
        <v>35</v>
      </c>
      <c r="J40" s="17">
        <f t="array" ref="J40">IF(I40="Remove", "N/A",
 IF(MAX(VALUE(TRIM(_xlfn.TEXTSPLIT(D40, ", "))))&lt;30, H40, H40*2))</f>
        <v>8</v>
      </c>
      <c r="K40" s="17" cm="1">
        <f t="array" ref="K40">IF(MAX(VALUE(TRIM(_xlfn.TEXTSPLIT(D40, ", "))))&lt;30, H40, H40*2)</f>
        <v>8</v>
      </c>
      <c r="L40" s="17" t="str">
        <f t="shared" si="3"/>
        <v>Yes</v>
      </c>
      <c r="M40" s="18">
        <f t="shared" si="4"/>
        <v>44</v>
      </c>
      <c r="N40" s="18">
        <f t="shared" si="1"/>
        <v>16.440000000000001</v>
      </c>
      <c r="O40" s="10">
        <f t="shared" si="2"/>
        <v>32.880000000000003</v>
      </c>
      <c r="P40">
        <v>475.14</v>
      </c>
      <c r="Q40">
        <v>-418.96</v>
      </c>
      <c r="R40">
        <v>2</v>
      </c>
    </row>
    <row r="41" spans="1:18" x14ac:dyDescent="0.3">
      <c r="A41" s="17">
        <v>46</v>
      </c>
      <c r="B41" s="17" t="s">
        <v>78</v>
      </c>
      <c r="C41" s="17" t="s">
        <v>79</v>
      </c>
      <c r="D41" s="17">
        <v>43</v>
      </c>
      <c r="E41" s="17" t="s">
        <v>39</v>
      </c>
      <c r="F41" s="17"/>
      <c r="G41" s="17" t="s">
        <v>73</v>
      </c>
      <c r="H41" s="17">
        <v>3</v>
      </c>
      <c r="I41" s="17" t="s">
        <v>35</v>
      </c>
      <c r="J41" s="17">
        <f t="array" ref="J41">IF(I41="Remove", "N/A",
 IF(MAX(VALUE(TRIM(_xlfn.TEXTSPLIT(D41, ", "))))&lt;30, H41, H41*2))</f>
        <v>6</v>
      </c>
      <c r="K41" s="17" cm="1">
        <f t="array" ref="K41">IF(MAX(VALUE(TRIM(_xlfn.TEXTSPLIT(D41, ", "))))&lt;30, H41, H41*2)</f>
        <v>6</v>
      </c>
      <c r="L41" s="17" t="str">
        <f t="shared" si="3"/>
        <v>Yes</v>
      </c>
      <c r="M41" s="18">
        <f t="shared" si="4"/>
        <v>43</v>
      </c>
      <c r="N41" s="18">
        <f t="shared" si="1"/>
        <v>12.43</v>
      </c>
      <c r="O41" s="10">
        <f t="shared" si="2"/>
        <v>24.86</v>
      </c>
      <c r="P41">
        <v>460.78</v>
      </c>
      <c r="Q41">
        <v>-418.58</v>
      </c>
      <c r="R41">
        <v>2</v>
      </c>
    </row>
    <row r="42" spans="1:18" ht="20.399999999999999" x14ac:dyDescent="0.3">
      <c r="A42" s="17">
        <v>47</v>
      </c>
      <c r="B42" s="17" t="s">
        <v>89</v>
      </c>
      <c r="C42" s="19" t="s">
        <v>90</v>
      </c>
      <c r="D42" s="17">
        <v>87</v>
      </c>
      <c r="E42" s="17" t="s">
        <v>86</v>
      </c>
      <c r="F42" s="17"/>
      <c r="G42" s="17" t="s">
        <v>73</v>
      </c>
      <c r="H42" s="17">
        <v>3</v>
      </c>
      <c r="I42" s="17" t="s">
        <v>33</v>
      </c>
      <c r="J42" s="17">
        <f t="array" ref="J42">IF(I42="Remove", "N/A",
 IF(MAX(VALUE(TRIM(_xlfn.TEXTSPLIT(D42, ", "))))&lt;30, H42, H42*2))</f>
        <v>6</v>
      </c>
      <c r="K42" s="17" cm="1">
        <f t="array" ref="K42">IF(MAX(VALUE(TRIM(_xlfn.TEXTSPLIT(D42, ", "))))&lt;30, H42, H42*2)</f>
        <v>6</v>
      </c>
      <c r="L42" s="17" t="str">
        <f t="shared" si="3"/>
        <v>No</v>
      </c>
      <c r="M42" s="18">
        <f t="shared" si="4"/>
        <v>87</v>
      </c>
      <c r="N42" s="18">
        <f t="shared" ref="N42:N67" si="5">(J42*2)+(0.01)*((M42))</f>
        <v>12.87</v>
      </c>
      <c r="O42" s="10">
        <f t="shared" ref="O42:O67" si="6">(N42 * 1000) / VALUE(MID(O$2, FIND(":", O$2) + 1, LEN(O$2) - FIND(":", O$2)))</f>
        <v>25.74</v>
      </c>
      <c r="P42">
        <v>435.6</v>
      </c>
      <c r="Q42">
        <v>-431.01</v>
      </c>
      <c r="R42">
        <v>2</v>
      </c>
    </row>
    <row r="43" spans="1:18" x14ac:dyDescent="0.3">
      <c r="A43" s="17">
        <v>48</v>
      </c>
      <c r="B43" s="17" t="s">
        <v>78</v>
      </c>
      <c r="C43" s="17" t="s">
        <v>79</v>
      </c>
      <c r="D43" s="17">
        <v>56</v>
      </c>
      <c r="E43" s="17" t="s">
        <v>95</v>
      </c>
      <c r="F43" s="17"/>
      <c r="G43" s="17" t="s">
        <v>73</v>
      </c>
      <c r="H43" s="17">
        <v>3</v>
      </c>
      <c r="I43" s="17" t="s">
        <v>35</v>
      </c>
      <c r="J43" s="17">
        <f t="array" ref="J43">IF(I43="Remove", "N/A",
 IF(MAX(VALUE(TRIM(_xlfn.TEXTSPLIT(D43, ", "))))&lt;30, H43, H43*2))</f>
        <v>6</v>
      </c>
      <c r="K43" s="17" cm="1">
        <f t="array" ref="K43">IF(MAX(VALUE(TRIM(_xlfn.TEXTSPLIT(D43, ", "))))&lt;30, H43, H43*2)</f>
        <v>6</v>
      </c>
      <c r="L43" s="17" t="str">
        <f t="shared" si="3"/>
        <v>Yes</v>
      </c>
      <c r="M43" s="17">
        <f t="shared" si="4"/>
        <v>56</v>
      </c>
      <c r="N43" s="17">
        <f t="shared" si="5"/>
        <v>12.56</v>
      </c>
      <c r="O43" s="17">
        <f t="shared" si="6"/>
        <v>25.12</v>
      </c>
      <c r="P43">
        <v>413.6</v>
      </c>
      <c r="Q43">
        <v>-430.01</v>
      </c>
      <c r="R43">
        <v>2</v>
      </c>
    </row>
    <row r="44" spans="1:18" x14ac:dyDescent="0.3">
      <c r="A44" s="17">
        <v>49</v>
      </c>
      <c r="B44" s="17" t="s">
        <v>78</v>
      </c>
      <c r="C44" s="17" t="s">
        <v>79</v>
      </c>
      <c r="D44" s="17">
        <v>64</v>
      </c>
      <c r="E44" s="17" t="s">
        <v>39</v>
      </c>
      <c r="F44" s="17"/>
      <c r="G44" s="17" t="s">
        <v>73</v>
      </c>
      <c r="H44" s="17">
        <v>4</v>
      </c>
      <c r="I44" s="17" t="s">
        <v>35</v>
      </c>
      <c r="J44" s="17">
        <f t="array" ref="J44">IF(I44="Remove", "N/A",
 IF(MAX(VALUE(TRIM(_xlfn.TEXTSPLIT(D44, ", "))))&lt;30, H44, H44*2))</f>
        <v>8</v>
      </c>
      <c r="K44" s="17" cm="1">
        <f t="array" ref="K44">IF(MAX(VALUE(TRIM(_xlfn.TEXTSPLIT(D44, ", "))))&lt;30, H44, H44*2)</f>
        <v>8</v>
      </c>
      <c r="L44" s="17" t="str">
        <f t="shared" si="3"/>
        <v>Yes</v>
      </c>
      <c r="M44" s="17">
        <f t="shared" si="4"/>
        <v>64</v>
      </c>
      <c r="N44" s="17">
        <f t="shared" si="5"/>
        <v>16.64</v>
      </c>
      <c r="O44" s="17">
        <f t="shared" si="6"/>
        <v>33.28</v>
      </c>
      <c r="P44">
        <v>313.94</v>
      </c>
      <c r="Q44">
        <v>-438.73</v>
      </c>
      <c r="R44">
        <v>2</v>
      </c>
    </row>
    <row r="45" spans="1:18" x14ac:dyDescent="0.3">
      <c r="A45" s="17">
        <v>50</v>
      </c>
      <c r="B45" s="17" t="s">
        <v>78</v>
      </c>
      <c r="C45" s="17" t="s">
        <v>79</v>
      </c>
      <c r="D45" s="17">
        <v>55</v>
      </c>
      <c r="E45" s="17" t="s">
        <v>94</v>
      </c>
      <c r="F45" s="17"/>
      <c r="G45" s="17" t="s">
        <v>73</v>
      </c>
      <c r="H45" s="17">
        <v>4</v>
      </c>
      <c r="I45" s="17" t="s">
        <v>35</v>
      </c>
      <c r="J45" s="17">
        <f t="array" ref="J45">IF(I45="Remove", "N/A",
 IF(MAX(VALUE(TRIM(_xlfn.TEXTSPLIT(D45, ", "))))&lt;30, H45, H45*2))</f>
        <v>8</v>
      </c>
      <c r="K45" s="17" cm="1">
        <f t="array" ref="K45">IF(MAX(VALUE(TRIM(_xlfn.TEXTSPLIT(D45, ", "))))&lt;30, H45, H45*2)</f>
        <v>8</v>
      </c>
      <c r="L45" s="17" t="str">
        <f t="shared" si="3"/>
        <v>Yes</v>
      </c>
      <c r="M45" s="17">
        <f t="shared" si="4"/>
        <v>55</v>
      </c>
      <c r="N45" s="17">
        <f t="shared" si="5"/>
        <v>16.55</v>
      </c>
      <c r="O45" s="17">
        <f t="shared" si="6"/>
        <v>33.1</v>
      </c>
      <c r="P45">
        <v>291.75</v>
      </c>
      <c r="Q45">
        <v>-440.52</v>
      </c>
      <c r="R45">
        <v>2</v>
      </c>
    </row>
    <row r="46" spans="1:18" x14ac:dyDescent="0.3">
      <c r="A46" s="17">
        <v>51</v>
      </c>
      <c r="B46" s="17" t="s">
        <v>78</v>
      </c>
      <c r="C46" s="17" t="s">
        <v>79</v>
      </c>
      <c r="D46" s="17">
        <v>68</v>
      </c>
      <c r="E46" s="17" t="s">
        <v>39</v>
      </c>
      <c r="F46" s="17"/>
      <c r="G46" s="17" t="s">
        <v>73</v>
      </c>
      <c r="H46" s="17">
        <v>3</v>
      </c>
      <c r="I46" s="17" t="s">
        <v>35</v>
      </c>
      <c r="J46" s="17">
        <f t="array" ref="J46">IF(I46="Remove", "N/A",
 IF(MAX(VALUE(TRIM(_xlfn.TEXTSPLIT(D46, ", "))))&lt;30, H46, H46*2))</f>
        <v>6</v>
      </c>
      <c r="K46" s="17" cm="1">
        <f t="array" ref="K46">IF(MAX(VALUE(TRIM(_xlfn.TEXTSPLIT(D46, ", "))))&lt;30, H46, H46*2)</f>
        <v>6</v>
      </c>
      <c r="L46" s="17" t="str">
        <f t="shared" si="3"/>
        <v>Yes</v>
      </c>
      <c r="M46" s="17">
        <f t="shared" si="4"/>
        <v>68</v>
      </c>
      <c r="N46" s="17">
        <f t="shared" si="5"/>
        <v>12.68</v>
      </c>
      <c r="O46" s="17">
        <f t="shared" si="6"/>
        <v>25.36</v>
      </c>
      <c r="P46">
        <v>273.56</v>
      </c>
      <c r="Q46">
        <v>-443.11</v>
      </c>
      <c r="R46">
        <v>2</v>
      </c>
    </row>
    <row r="47" spans="1:18" x14ac:dyDescent="0.3">
      <c r="A47" s="17">
        <v>52</v>
      </c>
      <c r="B47" s="17" t="s">
        <v>78</v>
      </c>
      <c r="C47" s="17" t="s">
        <v>79</v>
      </c>
      <c r="D47" s="17">
        <v>57</v>
      </c>
      <c r="E47" s="17" t="s">
        <v>39</v>
      </c>
      <c r="F47" s="17"/>
      <c r="G47" s="17" t="s">
        <v>73</v>
      </c>
      <c r="H47" s="17">
        <v>5</v>
      </c>
      <c r="I47" s="17" t="s">
        <v>35</v>
      </c>
      <c r="J47" s="17">
        <f t="array" ref="J47">IF(I47="Remove", "N/A",
 IF(MAX(VALUE(TRIM(_xlfn.TEXTSPLIT(D47, ", "))))&lt;30, H47, H47*2))</f>
        <v>10</v>
      </c>
      <c r="K47" s="17" cm="1">
        <f t="array" ref="K47">IF(MAX(VALUE(TRIM(_xlfn.TEXTSPLIT(D47, ", "))))&lt;30, H47, H47*2)</f>
        <v>10</v>
      </c>
      <c r="L47" s="17" t="str">
        <f t="shared" si="3"/>
        <v>Yes</v>
      </c>
      <c r="M47" s="17">
        <f t="shared" si="4"/>
        <v>57</v>
      </c>
      <c r="N47" s="17">
        <f t="shared" si="5"/>
        <v>20.57</v>
      </c>
      <c r="O47" s="17">
        <f t="shared" si="6"/>
        <v>41.14</v>
      </c>
      <c r="P47">
        <v>253.85</v>
      </c>
      <c r="Q47">
        <v>-445.64</v>
      </c>
      <c r="R47">
        <v>2</v>
      </c>
    </row>
    <row r="48" spans="1:18" x14ac:dyDescent="0.3">
      <c r="A48" s="17">
        <v>53</v>
      </c>
      <c r="B48" s="17" t="s">
        <v>78</v>
      </c>
      <c r="C48" s="17" t="s">
        <v>79</v>
      </c>
      <c r="D48" s="17">
        <v>57</v>
      </c>
      <c r="E48" s="17" t="s">
        <v>94</v>
      </c>
      <c r="F48" s="17"/>
      <c r="G48" s="17" t="s">
        <v>73</v>
      </c>
      <c r="H48" s="17">
        <v>4</v>
      </c>
      <c r="I48" s="17" t="s">
        <v>35</v>
      </c>
      <c r="J48" s="17">
        <f t="array" ref="J48">IF(I48="Remove", "N/A",
 IF(MAX(VALUE(TRIM(_xlfn.TEXTSPLIT(D48, ", "))))&lt;30, H48, H48*2))</f>
        <v>8</v>
      </c>
      <c r="K48" s="17" cm="1">
        <f t="array" ref="K48">IF(MAX(VALUE(TRIM(_xlfn.TEXTSPLIT(D48, ", "))))&lt;30, H48, H48*2)</f>
        <v>8</v>
      </c>
      <c r="L48" s="17" t="str">
        <f t="shared" si="3"/>
        <v>Yes</v>
      </c>
      <c r="M48" s="17">
        <f t="shared" si="4"/>
        <v>57</v>
      </c>
      <c r="N48" s="17">
        <f t="shared" si="5"/>
        <v>16.57</v>
      </c>
      <c r="O48" s="17">
        <f t="shared" si="6"/>
        <v>33.14</v>
      </c>
      <c r="P48">
        <v>239.91</v>
      </c>
      <c r="Q48">
        <v>-446.74</v>
      </c>
      <c r="R48">
        <v>2</v>
      </c>
    </row>
    <row r="49" spans="1:18" x14ac:dyDescent="0.3">
      <c r="A49" s="17">
        <v>54</v>
      </c>
      <c r="B49" s="17" t="s">
        <v>78</v>
      </c>
      <c r="C49" s="17" t="s">
        <v>79</v>
      </c>
      <c r="D49" s="17">
        <v>52</v>
      </c>
      <c r="E49" s="17" t="s">
        <v>39</v>
      </c>
      <c r="F49" s="17"/>
      <c r="G49" s="17" t="s">
        <v>73</v>
      </c>
      <c r="H49" s="17">
        <v>4</v>
      </c>
      <c r="I49" s="17" t="s">
        <v>35</v>
      </c>
      <c r="J49" s="17">
        <f t="array" ref="J49">IF(I49="Remove", "N/A",
 IF(MAX(VALUE(TRIM(_xlfn.TEXTSPLIT(D49, ", "))))&lt;30, H49, H49*2))</f>
        <v>8</v>
      </c>
      <c r="K49" s="17" cm="1">
        <f t="array" ref="K49">IF(MAX(VALUE(TRIM(_xlfn.TEXTSPLIT(D49, ", "))))&lt;30, H49, H49*2)</f>
        <v>8</v>
      </c>
      <c r="L49" s="17" t="str">
        <f t="shared" si="3"/>
        <v>Yes</v>
      </c>
      <c r="M49" s="17">
        <f t="shared" si="4"/>
        <v>52</v>
      </c>
      <c r="N49" s="17">
        <f t="shared" si="5"/>
        <v>16.52</v>
      </c>
      <c r="O49" s="17">
        <f t="shared" si="6"/>
        <v>33.04</v>
      </c>
      <c r="P49">
        <v>227.6</v>
      </c>
      <c r="Q49">
        <v>-448.01</v>
      </c>
      <c r="R49">
        <v>2</v>
      </c>
    </row>
    <row r="50" spans="1:18" x14ac:dyDescent="0.3">
      <c r="A50" s="17">
        <v>55</v>
      </c>
      <c r="B50" s="17" t="s">
        <v>78</v>
      </c>
      <c r="C50" s="17" t="s">
        <v>79</v>
      </c>
      <c r="D50" s="17">
        <v>46</v>
      </c>
      <c r="E50" s="17" t="s">
        <v>39</v>
      </c>
      <c r="F50" s="17"/>
      <c r="G50" s="17" t="s">
        <v>73</v>
      </c>
      <c r="H50" s="17">
        <v>4</v>
      </c>
      <c r="I50" s="17" t="s">
        <v>35</v>
      </c>
      <c r="J50" s="17">
        <f t="array" ref="J50">IF(I50="Remove", "N/A",
 IF(MAX(VALUE(TRIM(_xlfn.TEXTSPLIT(D50, ", "))))&lt;30, H50, H50*2))</f>
        <v>8</v>
      </c>
      <c r="K50" s="17" cm="1">
        <f t="array" ref="K50">IF(MAX(VALUE(TRIM(_xlfn.TEXTSPLIT(D50, ", "))))&lt;30, H50, H50*2)</f>
        <v>8</v>
      </c>
      <c r="L50" s="17" t="str">
        <f t="shared" si="3"/>
        <v>Yes</v>
      </c>
      <c r="M50" s="17">
        <f t="shared" si="4"/>
        <v>46</v>
      </c>
      <c r="N50" s="17">
        <f t="shared" si="5"/>
        <v>16.46</v>
      </c>
      <c r="O50" s="17">
        <f t="shared" si="6"/>
        <v>32.92</v>
      </c>
      <c r="P50">
        <v>198.98</v>
      </c>
      <c r="Q50">
        <v>-448.63</v>
      </c>
      <c r="R50">
        <v>2</v>
      </c>
    </row>
    <row r="51" spans="1:18" x14ac:dyDescent="0.3">
      <c r="A51" s="17">
        <v>56</v>
      </c>
      <c r="B51" s="17" t="s">
        <v>78</v>
      </c>
      <c r="C51" s="17" t="s">
        <v>79</v>
      </c>
      <c r="D51" s="17">
        <v>41</v>
      </c>
      <c r="E51" s="17" t="s">
        <v>95</v>
      </c>
      <c r="F51" s="17"/>
      <c r="G51" s="17" t="s">
        <v>73</v>
      </c>
      <c r="H51" s="17">
        <v>3</v>
      </c>
      <c r="I51" s="17" t="s">
        <v>35</v>
      </c>
      <c r="J51" s="17">
        <f t="array" ref="J51">IF(I51="Remove", "N/A",
 IF(MAX(VALUE(TRIM(_xlfn.TEXTSPLIT(D51, ", "))))&lt;30, H51, H51*2))</f>
        <v>6</v>
      </c>
      <c r="K51" s="17" cm="1">
        <f t="array" ref="K51">IF(MAX(VALUE(TRIM(_xlfn.TEXTSPLIT(D51, ", "))))&lt;30, H51, H51*2)</f>
        <v>6</v>
      </c>
      <c r="L51" s="17" t="str">
        <f t="shared" si="3"/>
        <v>Yes</v>
      </c>
      <c r="M51" s="17">
        <f t="shared" si="4"/>
        <v>41</v>
      </c>
      <c r="N51" s="17">
        <f t="shared" si="5"/>
        <v>12.41</v>
      </c>
      <c r="O51" s="17">
        <f t="shared" si="6"/>
        <v>24.82</v>
      </c>
      <c r="P51">
        <v>187.22</v>
      </c>
      <c r="Q51">
        <v>-451.1</v>
      </c>
      <c r="R51">
        <v>2</v>
      </c>
    </row>
    <row r="52" spans="1:18" x14ac:dyDescent="0.3">
      <c r="A52" s="17">
        <v>57</v>
      </c>
      <c r="B52" s="17" t="s">
        <v>78</v>
      </c>
      <c r="C52" s="17" t="s">
        <v>79</v>
      </c>
      <c r="D52" s="17">
        <v>40</v>
      </c>
      <c r="E52" s="17" t="s">
        <v>95</v>
      </c>
      <c r="F52" s="17"/>
      <c r="G52" s="17" t="s">
        <v>73</v>
      </c>
      <c r="H52" s="17">
        <v>3</v>
      </c>
      <c r="I52" s="17" t="s">
        <v>33</v>
      </c>
      <c r="J52" s="17">
        <f t="array" ref="J52">IF(I52="Remove", "N/A",
 IF(MAX(VALUE(TRIM(_xlfn.TEXTSPLIT(D52, ", "))))&lt;30, H52, H52*2))</f>
        <v>6</v>
      </c>
      <c r="K52" s="17" cm="1">
        <f t="array" ref="K52">IF(MAX(VALUE(TRIM(_xlfn.TEXTSPLIT(D52, ", "))))&lt;30, H52, H52*2)</f>
        <v>6</v>
      </c>
      <c r="L52" s="17" t="str">
        <f t="shared" si="3"/>
        <v>No</v>
      </c>
      <c r="M52" s="17">
        <f t="shared" si="4"/>
        <v>40</v>
      </c>
      <c r="N52" s="17">
        <f t="shared" si="5"/>
        <v>12.4</v>
      </c>
      <c r="O52" s="17">
        <f t="shared" si="6"/>
        <v>24.8</v>
      </c>
      <c r="P52">
        <v>172.82</v>
      </c>
      <c r="Q52">
        <v>-453.36</v>
      </c>
      <c r="R52">
        <v>2</v>
      </c>
    </row>
    <row r="53" spans="1:18" ht="20.399999999999999" x14ac:dyDescent="0.3">
      <c r="A53" s="17">
        <v>58</v>
      </c>
      <c r="B53" s="17" t="s">
        <v>83</v>
      </c>
      <c r="C53" s="17" t="s">
        <v>84</v>
      </c>
      <c r="D53" s="17">
        <v>84</v>
      </c>
      <c r="E53" s="17" t="s">
        <v>30</v>
      </c>
      <c r="F53" s="17"/>
      <c r="G53" s="17" t="s">
        <v>73</v>
      </c>
      <c r="H53" s="17">
        <v>7</v>
      </c>
      <c r="I53" s="17" t="s">
        <v>35</v>
      </c>
      <c r="J53" s="17">
        <f t="array" ref="J53">IF(I53="Remove", "N/A",
 IF(MAX(VALUE(TRIM(_xlfn.TEXTSPLIT(D53, ", "))))&lt;30, H53, H53*2))</f>
        <v>14</v>
      </c>
      <c r="K53" s="17" cm="1">
        <f t="array" ref="K53">IF(MAX(VALUE(TRIM(_xlfn.TEXTSPLIT(D53, ", "))))&lt;30, H53, H53*2)</f>
        <v>14</v>
      </c>
      <c r="L53" s="17" t="str">
        <f t="shared" si="3"/>
        <v>Yes</v>
      </c>
      <c r="M53" s="17">
        <f t="shared" si="4"/>
        <v>84</v>
      </c>
      <c r="N53" s="17">
        <f t="shared" si="5"/>
        <v>28.84</v>
      </c>
      <c r="O53" s="17">
        <f t="shared" si="6"/>
        <v>57.68</v>
      </c>
      <c r="P53">
        <v>175.6</v>
      </c>
      <c r="Q53">
        <v>-408.01</v>
      </c>
      <c r="R53">
        <v>2</v>
      </c>
    </row>
    <row r="54" spans="1:18" ht="20.399999999999999" x14ac:dyDescent="0.3">
      <c r="A54" s="17">
        <v>59</v>
      </c>
      <c r="B54" s="17" t="s">
        <v>83</v>
      </c>
      <c r="C54" s="17" t="s">
        <v>84</v>
      </c>
      <c r="D54" s="17">
        <v>64</v>
      </c>
      <c r="E54" s="17" t="s">
        <v>95</v>
      </c>
      <c r="F54" s="17"/>
      <c r="G54" s="17" t="s">
        <v>73</v>
      </c>
      <c r="H54" s="17">
        <v>7</v>
      </c>
      <c r="I54" s="17" t="s">
        <v>35</v>
      </c>
      <c r="J54" s="17">
        <f t="array" ref="J54">IF(I54="Remove", "N/A",
 IF(MAX(VALUE(TRIM(_xlfn.TEXTSPLIT(D54, ", "))))&lt;30, H54, H54*2))</f>
        <v>14</v>
      </c>
      <c r="K54" s="17" cm="1">
        <f t="array" ref="K54">IF(MAX(VALUE(TRIM(_xlfn.TEXTSPLIT(D54, ", "))))&lt;30, H54, H54*2)</f>
        <v>14</v>
      </c>
      <c r="L54" s="17" t="str">
        <f t="shared" si="3"/>
        <v>Yes</v>
      </c>
      <c r="M54" s="17">
        <f t="shared" si="4"/>
        <v>64</v>
      </c>
      <c r="N54" s="17">
        <f t="shared" si="5"/>
        <v>28.64</v>
      </c>
      <c r="O54" s="17">
        <f t="shared" si="6"/>
        <v>57.28</v>
      </c>
      <c r="P54">
        <v>173.56</v>
      </c>
      <c r="Q54">
        <v>-391.8</v>
      </c>
      <c r="R54">
        <v>2</v>
      </c>
    </row>
    <row r="55" spans="1:18" ht="20.399999999999999" x14ac:dyDescent="0.3">
      <c r="A55" s="17">
        <v>60</v>
      </c>
      <c r="B55" s="17" t="s">
        <v>83</v>
      </c>
      <c r="C55" s="17" t="s">
        <v>84</v>
      </c>
      <c r="D55" s="17">
        <v>54</v>
      </c>
      <c r="E55" s="17" t="s">
        <v>39</v>
      </c>
      <c r="F55" s="17"/>
      <c r="G55" s="17" t="s">
        <v>73</v>
      </c>
      <c r="H55" s="17">
        <v>6</v>
      </c>
      <c r="I55" s="17" t="s">
        <v>35</v>
      </c>
      <c r="J55" s="17">
        <f t="array" ref="J55">IF(I55="Remove", "N/A",
 IF(MAX(VALUE(TRIM(_xlfn.TEXTSPLIT(D55, ", "))))&lt;30, H55, H55*2))</f>
        <v>12</v>
      </c>
      <c r="K55" s="17" cm="1">
        <f t="array" ref="K55">IF(MAX(VALUE(TRIM(_xlfn.TEXTSPLIT(D55, ", "))))&lt;30, H55, H55*2)</f>
        <v>12</v>
      </c>
      <c r="L55" s="17" t="str">
        <f t="shared" si="3"/>
        <v>Yes</v>
      </c>
      <c r="M55" s="17">
        <f t="shared" si="4"/>
        <v>54</v>
      </c>
      <c r="N55" s="17">
        <f t="shared" si="5"/>
        <v>24.54</v>
      </c>
      <c r="O55" s="17">
        <f t="shared" si="6"/>
        <v>49.08</v>
      </c>
      <c r="P55">
        <v>167.67</v>
      </c>
      <c r="Q55">
        <v>-362.68</v>
      </c>
      <c r="R55">
        <v>2</v>
      </c>
    </row>
    <row r="56" spans="1:18" ht="20.399999999999999" x14ac:dyDescent="0.3">
      <c r="A56" s="17">
        <v>61</v>
      </c>
      <c r="B56" s="17" t="s">
        <v>83</v>
      </c>
      <c r="C56" s="17" t="s">
        <v>84</v>
      </c>
      <c r="D56" s="17">
        <v>69</v>
      </c>
      <c r="E56" s="17" t="s">
        <v>30</v>
      </c>
      <c r="F56" s="17"/>
      <c r="G56" s="17" t="s">
        <v>73</v>
      </c>
      <c r="H56" s="17">
        <v>5</v>
      </c>
      <c r="I56" s="17" t="s">
        <v>35</v>
      </c>
      <c r="J56" s="17">
        <f t="array" ref="J56">IF(I56="Remove", "N/A",
 IF(MAX(VALUE(TRIM(_xlfn.TEXTSPLIT(D56, ", "))))&lt;30, H56, H56*2))</f>
        <v>10</v>
      </c>
      <c r="K56" s="17" cm="1">
        <f t="array" ref="K56">IF(MAX(VALUE(TRIM(_xlfn.TEXTSPLIT(D56, ", "))))&lt;30, H56, H56*2)</f>
        <v>10</v>
      </c>
      <c r="L56" s="17" t="str">
        <f t="shared" si="3"/>
        <v>Yes</v>
      </c>
      <c r="M56" s="17">
        <f t="shared" si="4"/>
        <v>69</v>
      </c>
      <c r="N56" s="17">
        <f t="shared" si="5"/>
        <v>20.69</v>
      </c>
      <c r="O56" s="17">
        <f t="shared" si="6"/>
        <v>41.38</v>
      </c>
      <c r="P56">
        <v>167.67</v>
      </c>
      <c r="Q56">
        <v>-332.68</v>
      </c>
      <c r="R56">
        <v>2</v>
      </c>
    </row>
    <row r="57" spans="1:18" x14ac:dyDescent="0.3">
      <c r="A57" s="17">
        <v>62</v>
      </c>
      <c r="B57" s="17" t="s">
        <v>78</v>
      </c>
      <c r="C57" s="17" t="s">
        <v>79</v>
      </c>
      <c r="D57" s="17">
        <v>73</v>
      </c>
      <c r="E57" s="17" t="s">
        <v>39</v>
      </c>
      <c r="F57" s="17"/>
      <c r="G57" s="17" t="s">
        <v>73</v>
      </c>
      <c r="H57" s="17">
        <v>6</v>
      </c>
      <c r="I57" s="17" t="s">
        <v>35</v>
      </c>
      <c r="J57" s="17">
        <f t="array" ref="J57">IF(I57="Remove", "N/A",
 IF(MAX(VALUE(TRIM(_xlfn.TEXTSPLIT(D57, ", "))))&lt;30, H57, H57*2))</f>
        <v>12</v>
      </c>
      <c r="K57" s="17" cm="1">
        <f t="array" ref="K57">IF(MAX(VALUE(TRIM(_xlfn.TEXTSPLIT(D57, ", "))))&lt;30, H57, H57*2)</f>
        <v>12</v>
      </c>
      <c r="L57" s="17" t="str">
        <f t="shared" si="3"/>
        <v>Yes</v>
      </c>
      <c r="M57" s="17">
        <f>SQRT(SUMPRODUCT(--_xlfn.TEXTSPLIT(D57, ", "), --_xlfn.TEXTSPLIT(D57, ", ")))</f>
        <v>73</v>
      </c>
      <c r="N57" s="17">
        <f t="shared" si="5"/>
        <v>24.73</v>
      </c>
      <c r="O57" s="17">
        <f t="shared" si="6"/>
        <v>49.46</v>
      </c>
      <c r="P57">
        <v>171.67</v>
      </c>
      <c r="Q57">
        <v>-298.68</v>
      </c>
      <c r="R57">
        <v>2</v>
      </c>
    </row>
    <row r="58" spans="1:18" ht="20.399999999999999" x14ac:dyDescent="0.3">
      <c r="A58" s="17">
        <v>63</v>
      </c>
      <c r="B58" s="17" t="s">
        <v>89</v>
      </c>
      <c r="C58" s="19" t="s">
        <v>90</v>
      </c>
      <c r="D58" s="17">
        <v>74</v>
      </c>
      <c r="E58" s="17" t="s">
        <v>86</v>
      </c>
      <c r="F58" s="17"/>
      <c r="G58" s="17" t="s">
        <v>73</v>
      </c>
      <c r="H58" s="17">
        <v>6</v>
      </c>
      <c r="I58" s="17" t="s">
        <v>35</v>
      </c>
      <c r="J58" s="17">
        <f t="array" ref="J58">IF(I58="Remove", "N/A",
 IF(MAX(VALUE(TRIM(_xlfn.TEXTSPLIT(D58, ", "))))&lt;30, H58, H58*2))</f>
        <v>12</v>
      </c>
      <c r="K58" s="17" cm="1">
        <f t="array" ref="K58">IF(MAX(VALUE(TRIM(_xlfn.TEXTSPLIT(D58, ", "))))&lt;30, H58, H58*2)</f>
        <v>12</v>
      </c>
      <c r="L58" s="17" t="str">
        <f t="shared" si="3"/>
        <v>Yes</v>
      </c>
      <c r="M58" s="17">
        <f>SQRT(SUMPRODUCT(--_xlfn.TEXTSPLIT(D58, ", "), --_xlfn.TEXTSPLIT(D58, ", ")))</f>
        <v>74</v>
      </c>
      <c r="N58" s="17">
        <f t="shared" si="5"/>
        <v>24.74</v>
      </c>
      <c r="O58" s="17">
        <f t="shared" si="6"/>
        <v>49.48</v>
      </c>
      <c r="P58">
        <v>163.66999999999999</v>
      </c>
      <c r="Q58">
        <v>-283.68</v>
      </c>
      <c r="R58">
        <v>2</v>
      </c>
    </row>
    <row r="59" spans="1:18" x14ac:dyDescent="0.3">
      <c r="A59" s="17">
        <v>64</v>
      </c>
      <c r="B59" s="17" t="s">
        <v>78</v>
      </c>
      <c r="C59" s="17" t="s">
        <v>79</v>
      </c>
      <c r="D59" s="17">
        <v>67</v>
      </c>
      <c r="E59" s="17" t="s">
        <v>39</v>
      </c>
      <c r="F59" s="17"/>
      <c r="G59" s="17" t="s">
        <v>73</v>
      </c>
      <c r="H59" s="17">
        <v>3</v>
      </c>
      <c r="I59" s="17" t="s">
        <v>35</v>
      </c>
      <c r="J59" s="17">
        <f t="array" ref="J59">IF(I59="Remove", "N/A",
 IF(MAX(VALUE(TRIM(_xlfn.TEXTSPLIT(D59, ", "))))&lt;30, H59, H59*2))</f>
        <v>6</v>
      </c>
      <c r="K59" s="17" cm="1">
        <f t="array" ref="K59">IF(MAX(VALUE(TRIM(_xlfn.TEXTSPLIT(D59, ", "))))&lt;30, H59, H59*2)</f>
        <v>6</v>
      </c>
      <c r="L59" s="17" t="str">
        <f t="shared" si="3"/>
        <v>Yes</v>
      </c>
      <c r="M59" s="17">
        <f t="shared" si="4"/>
        <v>67</v>
      </c>
      <c r="N59" s="17">
        <f t="shared" si="5"/>
        <v>12.67</v>
      </c>
      <c r="O59" s="17">
        <f t="shared" si="6"/>
        <v>25.34</v>
      </c>
      <c r="P59">
        <v>123.47</v>
      </c>
      <c r="Q59">
        <v>-276.77</v>
      </c>
      <c r="R59">
        <v>2</v>
      </c>
    </row>
    <row r="60" spans="1:18" x14ac:dyDescent="0.3">
      <c r="A60" s="17">
        <v>65</v>
      </c>
      <c r="B60" s="17" t="s">
        <v>78</v>
      </c>
      <c r="C60" s="17" t="s">
        <v>79</v>
      </c>
      <c r="D60" s="17">
        <v>63</v>
      </c>
      <c r="E60" s="17" t="s">
        <v>39</v>
      </c>
      <c r="F60" s="17"/>
      <c r="G60" s="17" t="s">
        <v>73</v>
      </c>
      <c r="H60" s="17">
        <v>5</v>
      </c>
      <c r="I60" s="17" t="s">
        <v>35</v>
      </c>
      <c r="J60" s="17">
        <f t="array" ref="J60">IF(I60="Remove", "N/A",
 IF(MAX(VALUE(TRIM(_xlfn.TEXTSPLIT(D60, ", "))))&lt;30, H60, H60*2))</f>
        <v>10</v>
      </c>
      <c r="K60" s="17" cm="1">
        <f t="array" ref="K60">IF(MAX(VALUE(TRIM(_xlfn.TEXTSPLIT(D60, ", "))))&lt;30, H60, H60*2)</f>
        <v>10</v>
      </c>
      <c r="L60" s="17" t="str">
        <f t="shared" si="3"/>
        <v>Yes</v>
      </c>
      <c r="M60" s="17">
        <f t="shared" si="4"/>
        <v>63</v>
      </c>
      <c r="N60" s="17">
        <f t="shared" si="5"/>
        <v>20.63</v>
      </c>
      <c r="O60" s="17">
        <f t="shared" si="6"/>
        <v>41.26</v>
      </c>
      <c r="P60">
        <v>88.8</v>
      </c>
      <c r="Q60">
        <v>-277.69</v>
      </c>
      <c r="R60">
        <v>2</v>
      </c>
    </row>
    <row r="61" spans="1:18" x14ac:dyDescent="0.3">
      <c r="A61" s="17">
        <v>66</v>
      </c>
      <c r="B61" s="17" t="s">
        <v>78</v>
      </c>
      <c r="C61" s="17" t="s">
        <v>79</v>
      </c>
      <c r="D61" s="17">
        <v>41</v>
      </c>
      <c r="E61" s="17" t="s">
        <v>95</v>
      </c>
      <c r="F61" s="17"/>
      <c r="G61" s="17" t="s">
        <v>73</v>
      </c>
      <c r="H61" s="17">
        <v>4</v>
      </c>
      <c r="I61" s="17" t="s">
        <v>35</v>
      </c>
      <c r="J61" s="17">
        <f t="array" ref="J61">IF(I61="Remove", "N/A",
 IF(MAX(VALUE(TRIM(_xlfn.TEXTSPLIT(D61, ", "))))&lt;30, H61, H61*2))</f>
        <v>8</v>
      </c>
      <c r="K61" s="17" cm="1">
        <f t="array" ref="K61">IF(MAX(VALUE(TRIM(_xlfn.TEXTSPLIT(D61, ", "))))&lt;30, H61, H61*2)</f>
        <v>8</v>
      </c>
      <c r="L61" s="17" t="str">
        <f t="shared" si="3"/>
        <v>Yes</v>
      </c>
      <c r="M61" s="17">
        <f t="shared" si="4"/>
        <v>41</v>
      </c>
      <c r="N61" s="17">
        <f t="shared" si="5"/>
        <v>16.41</v>
      </c>
      <c r="O61" s="17">
        <f t="shared" si="6"/>
        <v>32.82</v>
      </c>
      <c r="P61">
        <v>62.64</v>
      </c>
      <c r="Q61">
        <v>-280.99</v>
      </c>
      <c r="R61">
        <v>2</v>
      </c>
    </row>
    <row r="62" spans="1:18" x14ac:dyDescent="0.3">
      <c r="A62" s="17">
        <v>67</v>
      </c>
      <c r="B62" s="17" t="s">
        <v>78</v>
      </c>
      <c r="C62" s="17" t="s">
        <v>79</v>
      </c>
      <c r="D62" s="17">
        <v>43</v>
      </c>
      <c r="E62" s="17" t="s">
        <v>39</v>
      </c>
      <c r="F62" s="17"/>
      <c r="G62" s="17" t="s">
        <v>73</v>
      </c>
      <c r="H62" s="17">
        <v>3</v>
      </c>
      <c r="I62" s="17" t="s">
        <v>35</v>
      </c>
      <c r="J62" s="17">
        <f t="array" ref="J62">IF(I62="Remove", "N/A",
 IF(MAX(VALUE(TRIM(_xlfn.TEXTSPLIT(D62, ", "))))&lt;30, H62, H62*2))</f>
        <v>6</v>
      </c>
      <c r="K62" s="17" cm="1">
        <f t="array" ref="K62">IF(MAX(VALUE(TRIM(_xlfn.TEXTSPLIT(D62, ", "))))&lt;30, H62, H62*2)</f>
        <v>6</v>
      </c>
      <c r="L62" s="17" t="str">
        <f t="shared" si="3"/>
        <v>Yes</v>
      </c>
      <c r="M62" s="17">
        <f t="shared" si="4"/>
        <v>43</v>
      </c>
      <c r="N62" s="17">
        <f t="shared" si="5"/>
        <v>12.43</v>
      </c>
      <c r="O62" s="17">
        <f t="shared" si="6"/>
        <v>24.86</v>
      </c>
      <c r="P62">
        <v>12.02</v>
      </c>
      <c r="Q62">
        <v>-282.14</v>
      </c>
      <c r="R62">
        <v>2</v>
      </c>
    </row>
    <row r="63" spans="1:18" x14ac:dyDescent="0.3">
      <c r="A63" s="17">
        <v>68</v>
      </c>
      <c r="B63" s="17" t="s">
        <v>78</v>
      </c>
      <c r="C63" s="17" t="s">
        <v>79</v>
      </c>
      <c r="D63" s="17">
        <v>50</v>
      </c>
      <c r="E63" s="17" t="s">
        <v>39</v>
      </c>
      <c r="F63" s="17"/>
      <c r="G63" s="17" t="s">
        <v>73</v>
      </c>
      <c r="H63" s="17">
        <v>3</v>
      </c>
      <c r="I63" s="17" t="s">
        <v>35</v>
      </c>
      <c r="J63" s="17">
        <f t="array" ref="J63">IF(I63="Remove", "N/A",
 IF(MAX(VALUE(TRIM(_xlfn.TEXTSPLIT(D63, ", "))))&lt;30, H63, H63*2))</f>
        <v>6</v>
      </c>
      <c r="K63" s="17" cm="1">
        <f t="array" ref="K63">IF(MAX(VALUE(TRIM(_xlfn.TEXTSPLIT(D63, ", "))))&lt;30, H63, H63*2)</f>
        <v>6</v>
      </c>
      <c r="L63" s="17" t="str">
        <f t="shared" si="3"/>
        <v>Yes</v>
      </c>
      <c r="M63" s="17">
        <f t="shared" si="4"/>
        <v>50</v>
      </c>
      <c r="N63" s="17">
        <f t="shared" si="5"/>
        <v>12.5</v>
      </c>
      <c r="O63" s="17">
        <f t="shared" si="6"/>
        <v>25</v>
      </c>
      <c r="P63">
        <v>-29.94</v>
      </c>
      <c r="Q63">
        <v>-283.10000000000002</v>
      </c>
      <c r="R63">
        <v>2</v>
      </c>
    </row>
    <row r="64" spans="1:18" ht="20.399999999999999" x14ac:dyDescent="0.3">
      <c r="A64" s="17">
        <v>69</v>
      </c>
      <c r="B64" s="17" t="s">
        <v>83</v>
      </c>
      <c r="C64" s="17" t="s">
        <v>84</v>
      </c>
      <c r="D64" s="17">
        <v>64</v>
      </c>
      <c r="E64" s="17" t="s">
        <v>94</v>
      </c>
      <c r="F64" s="17"/>
      <c r="G64" s="17" t="s">
        <v>73</v>
      </c>
      <c r="H64" s="17">
        <v>5</v>
      </c>
      <c r="I64" s="17" t="s">
        <v>35</v>
      </c>
      <c r="J64" s="17">
        <f t="array" ref="J64">IF(I64="Remove", "N/A",
 IF(MAX(VALUE(TRIM(_xlfn.TEXTSPLIT(D64, ", "))))&lt;30, H64, H64*2))</f>
        <v>10</v>
      </c>
      <c r="K64" s="17" cm="1">
        <f t="array" ref="K64">IF(MAX(VALUE(TRIM(_xlfn.TEXTSPLIT(D64, ", "))))&lt;30, H64, H64*2)</f>
        <v>10</v>
      </c>
      <c r="L64" s="17" t="str">
        <f t="shared" si="3"/>
        <v>Yes</v>
      </c>
      <c r="M64" s="17">
        <f t="shared" si="4"/>
        <v>64</v>
      </c>
      <c r="N64" s="17">
        <f t="shared" si="5"/>
        <v>20.64</v>
      </c>
      <c r="O64" s="17">
        <f t="shared" si="6"/>
        <v>41.28</v>
      </c>
      <c r="P64">
        <v>-67.5</v>
      </c>
      <c r="Q64">
        <v>-281.61</v>
      </c>
      <c r="R64">
        <v>2</v>
      </c>
    </row>
    <row r="65" spans="1:18" x14ac:dyDescent="0.3">
      <c r="A65" s="17">
        <v>70</v>
      </c>
      <c r="B65" s="17" t="s">
        <v>78</v>
      </c>
      <c r="C65" s="17" t="s">
        <v>79</v>
      </c>
      <c r="D65" s="17">
        <v>53</v>
      </c>
      <c r="E65" s="17" t="s">
        <v>39</v>
      </c>
      <c r="F65" s="17"/>
      <c r="G65" s="17" t="s">
        <v>73</v>
      </c>
      <c r="H65" s="17">
        <v>5</v>
      </c>
      <c r="I65" s="17" t="s">
        <v>35</v>
      </c>
      <c r="J65" s="17">
        <f t="array" ref="J65">IF(I65="Remove", "N/A",
 IF(MAX(VALUE(TRIM(_xlfn.TEXTSPLIT(D65, ", "))))&lt;30, H65, H65*2))</f>
        <v>10</v>
      </c>
      <c r="K65" s="17" cm="1">
        <f t="array" ref="K65">IF(MAX(VALUE(TRIM(_xlfn.TEXTSPLIT(D65, ", "))))&lt;30, H65, H65*2)</f>
        <v>10</v>
      </c>
      <c r="L65" s="17" t="str">
        <f t="shared" si="3"/>
        <v>Yes</v>
      </c>
      <c r="M65" s="17">
        <f t="shared" si="4"/>
        <v>53</v>
      </c>
      <c r="N65" s="17">
        <f t="shared" si="5"/>
        <v>20.53</v>
      </c>
      <c r="O65" s="17">
        <f t="shared" si="6"/>
        <v>41.06</v>
      </c>
      <c r="P65">
        <v>-87.97</v>
      </c>
      <c r="Q65">
        <v>-280.02999999999997</v>
      </c>
      <c r="R65">
        <v>2</v>
      </c>
    </row>
    <row r="66" spans="1:18" x14ac:dyDescent="0.3">
      <c r="A66" s="17">
        <v>71</v>
      </c>
      <c r="B66" s="17" t="s">
        <v>78</v>
      </c>
      <c r="C66" s="17" t="s">
        <v>79</v>
      </c>
      <c r="D66" s="17">
        <v>81</v>
      </c>
      <c r="E66" s="17" t="s">
        <v>95</v>
      </c>
      <c r="F66" s="17"/>
      <c r="G66" s="17" t="s">
        <v>73</v>
      </c>
      <c r="H66" s="17">
        <v>4</v>
      </c>
      <c r="I66" s="17" t="s">
        <v>35</v>
      </c>
      <c r="J66" s="17">
        <f t="array" ref="J66">IF(I66="Remove", "N/A",
 IF(MAX(VALUE(TRIM(_xlfn.TEXTSPLIT(D66, ", "))))&lt;30, H66, H66*2))</f>
        <v>8</v>
      </c>
      <c r="K66" s="17" cm="1">
        <f t="array" ref="K66">IF(MAX(VALUE(TRIM(_xlfn.TEXTSPLIT(D66, ", "))))&lt;30, H66, H66*2)</f>
        <v>8</v>
      </c>
      <c r="L66" s="17" t="str">
        <f t="shared" si="3"/>
        <v>Yes</v>
      </c>
      <c r="M66" s="17">
        <f t="shared" si="4"/>
        <v>81</v>
      </c>
      <c r="N66" s="17">
        <f t="shared" si="5"/>
        <v>16.809999999999999</v>
      </c>
      <c r="O66" s="17">
        <f t="shared" si="6"/>
        <v>33.619999999999997</v>
      </c>
      <c r="P66">
        <v>-110.17</v>
      </c>
      <c r="Q66">
        <v>-283.56</v>
      </c>
      <c r="R66">
        <v>2</v>
      </c>
    </row>
    <row r="67" spans="1:18" x14ac:dyDescent="0.3">
      <c r="A67" s="17">
        <v>72</v>
      </c>
      <c r="B67" s="17" t="s">
        <v>78</v>
      </c>
      <c r="C67" s="17" t="s">
        <v>79</v>
      </c>
      <c r="D67" s="17">
        <v>55</v>
      </c>
      <c r="E67" s="17" t="s">
        <v>39</v>
      </c>
      <c r="F67" s="17"/>
      <c r="G67" s="17" t="s">
        <v>73</v>
      </c>
      <c r="H67" s="17">
        <v>6</v>
      </c>
      <c r="I67" s="17" t="s">
        <v>35</v>
      </c>
      <c r="J67" s="17">
        <f t="array" ref="J67">IF(I67="Remove", "N/A",
 IF(MAX(VALUE(TRIM(_xlfn.TEXTSPLIT(D67, ", "))))&lt;30, H67, H67*2))</f>
        <v>12</v>
      </c>
      <c r="K67" s="17" cm="1">
        <f t="array" ref="K67">IF(MAX(VALUE(TRIM(_xlfn.TEXTSPLIT(D67, ", "))))&lt;30, H67, H67*2)</f>
        <v>12</v>
      </c>
      <c r="L67" s="17" t="str">
        <f t="shared" si="3"/>
        <v>Yes</v>
      </c>
      <c r="M67" s="17">
        <f t="shared" si="4"/>
        <v>55</v>
      </c>
      <c r="N67" s="17">
        <f t="shared" si="5"/>
        <v>24.55</v>
      </c>
      <c r="O67" s="17">
        <f t="shared" si="6"/>
        <v>49.1</v>
      </c>
      <c r="P67">
        <v>-126.06</v>
      </c>
      <c r="Q67">
        <v>-291.17</v>
      </c>
      <c r="R67">
        <v>2</v>
      </c>
    </row>
    <row r="68" spans="1:18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</sheetData>
  <conditionalFormatting sqref="L1:XFD2 M3:XFD3 L3:L67 M4:O67 L68:O68 A1:K68">
    <cfRule type="expression" dxfId="1" priority="1">
      <formula>AND($L1="Yes", $I1="Injury")</formula>
    </cfRule>
    <cfRule type="expression" dxfId="0" priority="2">
      <formula>AND($L1="Yes", $I1="Remove")</formula>
    </cfRule>
  </conditionalFormatting>
  <dataValidations count="1">
    <dataValidation type="list" allowBlank="1" showInputMessage="1" showErrorMessage="1" sqref="C1" xr:uid="{00000000-0002-0000-0000-000000000000}">
      <formula1>"Toronto, Toronto(RNFP), Brampton, Burlington, Markham, Misissauga, Oakville, Richmond Hill, Vaughan, Other (please specify)"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 Litvinov</dc:creator>
  <cp:lastModifiedBy>Arborist Group</cp:lastModifiedBy>
  <dcterms:created xsi:type="dcterms:W3CDTF">2015-03-12T17:11:42Z</dcterms:created>
  <dcterms:modified xsi:type="dcterms:W3CDTF">2026-03-12T13:06:42Z</dcterms:modified>
</cp:coreProperties>
</file>